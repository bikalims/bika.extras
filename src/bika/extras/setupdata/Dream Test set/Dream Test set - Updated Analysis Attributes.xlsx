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27" autoFilterDateGrouping="1"/>
  </bookViews>
  <sheets>
    <sheet name="Instructions. Creative Commons" sheetId="1" state="visible" r:id="rId1"/>
    <sheet name="Lab Information" sheetId="2" state="visible" r:id="rId2"/>
    <sheet name="Lab Contacts" sheetId="3" state="visible" r:id="rId3"/>
    <sheet name="Lab Departments" sheetId="4" state="visible" r:id="rId4"/>
    <sheet name="Lab Products" sheetId="5" state="visible" r:id="rId5"/>
    <sheet name="Clients" sheetId="6" state="visible" r:id="rId6"/>
    <sheet name="Client Contacts" sheetId="7" state="visible" r:id="rId7"/>
    <sheet name="Attachment Types" sheetId="8" state="visible" r:id="rId8"/>
    <sheet name="Container Types" sheetId="9" state="visible" r:id="rId9"/>
    <sheet name="Preservations" sheetId="10" state="visible" r:id="rId10"/>
    <sheet name="Containers" sheetId="11" state="visible" r:id="rId11"/>
    <sheet name="Storage Locations" sheetId="12" state="visible" r:id="rId12"/>
    <sheet name="Sample Matrices" sheetId="13" state="visible" r:id="rId13"/>
    <sheet name="Sample Types" sheetId="14" state="visible" r:id="rId14"/>
    <sheet name="Sample Points" sheetId="15" state="visible" r:id="rId15"/>
    <sheet name="Instrument Types" sheetId="16" state="visible" r:id="rId16"/>
    <sheet name="Sample Point Sample Types" sheetId="17" state="visible" r:id="rId17"/>
    <sheet name="Suppliers" sheetId="18" state="visible" r:id="rId18"/>
    <sheet name="Supplier Contacts" sheetId="19" state="visible" r:id="rId19"/>
    <sheet name="Manufacturers" sheetId="20" state="visible" r:id="rId20"/>
    <sheet name="Calculations" sheetId="21" state="visible" r:id="rId21"/>
    <sheet name="Calculation Interim Fields" sheetId="22" state="visible" r:id="rId22"/>
    <sheet name="Instruments" sheetId="23" state="visible" r:id="rId23"/>
    <sheet name="Instrument Methods" sheetId="24" state="visible" r:id="rId24"/>
    <sheet name="Methods" sheetId="25" state="visible" r:id="rId25"/>
    <sheet name="Instrument Certifications" sheetId="26" state="visible" r:id="rId26"/>
    <sheet name="Analysis Categories" sheetId="27" state="visible" r:id="rId27"/>
    <sheet name="Analysis Services" sheetId="28" state="visible" r:id="rId28"/>
    <sheet name="AnalysisService Methods" sheetId="29" state="visible" r:id="rId29"/>
    <sheet name="AnalysisService Instruments" sheetId="30" state="visible" r:id="rId30"/>
    <sheet name="AnalysisService InterimFields" sheetId="31" state="visible" r:id="rId31"/>
    <sheet name="AnalysisService ResultOptions" sheetId="32" state="visible" r:id="rId32"/>
    <sheet name="Analysis Service Uncertainties" sheetId="33" state="visible" r:id="rId33"/>
    <sheet name="Analysis Specifications" sheetId="34" state="visible" r:id="rId34"/>
    <sheet name="Analysis Profiles" sheetId="35" state="visible" r:id="rId35"/>
    <sheet name="Analysis Profile Services" sheetId="36" state="visible" r:id="rId36"/>
    <sheet name="Analysis Profile Sample Types" sheetId="37" state="visible" r:id="rId37"/>
    <sheet name="AR Templates" sheetId="38" state="visible" r:id="rId38"/>
    <sheet name="AR Template Analyses" sheetId="39" state="visible" r:id="rId39"/>
    <sheet name="AR Template Partitions" sheetId="40" state="visible" r:id="rId40"/>
    <sheet name="Reference Definitions" sheetId="41" state="visible" r:id="rId41"/>
    <sheet name="Reference Definition Results" sheetId="42" state="visible" r:id="rId42"/>
    <sheet name="Worksheet Templates" sheetId="43" state="visible" r:id="rId43"/>
    <sheet name="Worksheet Template Services" sheetId="44" state="visible" r:id="rId44"/>
    <sheet name="Worksheet Template Layouts" sheetId="45" state="visible" r:id="rId45"/>
    <sheet name="Sampling Deviations" sheetId="46" state="visible" r:id="rId46"/>
    <sheet name="Sample Conditions" sheetId="47" state="visible" r:id="rId47"/>
    <sheet name="Setup" sheetId="48" state="visible" r:id="rId48"/>
    <sheet name="Constants" sheetId="49" state="visible" r:id="rId49"/>
    <sheet name="Countries, Currencies" sheetId="50" state="visible" r:id="rId50"/>
    <sheet name="Units" sheetId="51" state="visible" r:id="rId51"/>
  </sheets>
  <definedNames>
    <definedName name="Z_3244B0AC_4CCC_4323_AB61_0C34C1309916_.wvu.FilterData" localSheetId="6" hidden="0" function="0" vbProcedure="0">'Client Contacts'!$A$3:$Y$10</definedName>
    <definedName name="Z_6B505033_E94F_4BF6_897F_324AECF16008_.wvu.FilterData" localSheetId="6" hidden="0" function="0" vbProcedure="0">'Client Contacts'!$A$3:$Y$10</definedName>
    <definedName name="Z_6B505033_E94F_4BF6_897F_324AECF16008_.wvu.FilterData_0" localSheetId="6" hidden="0" function="0" vbProcedure="0">'Client Contacts'!$A$3:$Y$10</definedName>
    <definedName name="Z_6B505033_E94F_4BF6_897F_324AECF16008_.wvu.FilterData" localSheetId="27" hidden="0" function="0" vbProcedure="0">'Analysis Services'!$C$2:$AD$11</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yyyy/mm/dd"/>
    <numFmt numFmtId="165" formatCode="m/d/yyyy"/>
    <numFmt numFmtId="166" formatCode="&quot;TRUE&quot;;&quot;TRUE&quot;;&quot;FALSE&quot;"/>
  </numFmts>
  <fonts count="52">
    <font>
      <name val="Calibri"/>
      <charset val="1"/>
      <family val="0"/>
      <color rgb="FF000000"/>
      <sz val="11"/>
    </font>
    <font>
      <name val="Arial"/>
      <family val="0"/>
      <sz val="10"/>
    </font>
    <font>
      <name val="Arial"/>
      <family val="0"/>
      <sz val="10"/>
    </font>
    <font>
      <name val="Arial"/>
      <family val="0"/>
      <sz val="10"/>
    </font>
    <font>
      <name val="Arial"/>
      <charset val="1"/>
      <family val="0"/>
      <color rgb="FFFFFFFF"/>
      <sz val="18"/>
    </font>
    <font>
      <name val="Open Sans"/>
      <charset val="1"/>
      <family val="0"/>
      <color rgb="FFFFFFFF"/>
      <sz val="18"/>
    </font>
    <font>
      <name val="Open Sans"/>
      <charset val="1"/>
      <family val="0"/>
      <color rgb="FF434343"/>
      <sz val="12"/>
    </font>
    <font>
      <name val="Open Sans"/>
      <charset val="1"/>
      <family val="0"/>
      <color rgb="FF1155CC"/>
      <sz val="12"/>
    </font>
    <font>
      <name val="Open Sans"/>
      <charset val="1"/>
      <family val="0"/>
      <color rgb="FF434343"/>
      <sz val="11"/>
    </font>
    <font>
      <name val="Arial"/>
      <charset val="1"/>
      <family val="0"/>
      <color rgb="FFFFFFFF"/>
      <sz val="14"/>
    </font>
    <font>
      <name val="Open Sans"/>
      <charset val="1"/>
      <family val="0"/>
      <color rgb="FFFFFFFF"/>
      <sz val="14"/>
    </font>
    <font>
      <name val="Open Sans"/>
      <charset val="1"/>
      <family val="0"/>
      <color rgb="FF1155CC"/>
      <sz val="11"/>
    </font>
    <font>
      <name val="Open Sans"/>
      <charset val="1"/>
      <family val="0"/>
      <color rgb="FF999999"/>
      <sz val="10"/>
    </font>
    <font>
      <name val="Open Sans"/>
      <charset val="1"/>
      <family val="0"/>
      <color rgb="FF434343"/>
      <sz val="10"/>
    </font>
    <font>
      <name val="Open Sans"/>
      <charset val="1"/>
      <family val="0"/>
      <color rgb="FF000000"/>
      <sz val="14"/>
    </font>
    <font>
      <name val="Open Sans"/>
      <charset val="1"/>
      <family val="0"/>
      <i val="1"/>
      <color rgb="FF434343"/>
      <sz val="10"/>
    </font>
    <font>
      <name val="Open Sans"/>
      <charset val="1"/>
      <family val="0"/>
      <color rgb="FF000000"/>
      <sz val="10"/>
    </font>
    <font>
      <name val="Open Sans"/>
      <charset val="1"/>
      <family val="0"/>
      <color rgb="FFFFFFFF"/>
      <sz val="11"/>
    </font>
    <font>
      <name val="Open Sans"/>
      <charset val="1"/>
      <family val="0"/>
      <color rgb="FF000000"/>
      <sz val="11"/>
    </font>
    <font>
      <name val="Open Sans"/>
      <charset val="1"/>
      <family val="0"/>
      <color rgb="FF0000FF"/>
      <sz val="11"/>
    </font>
    <font>
      <name val="Open Sans"/>
      <charset val="1"/>
      <family val="0"/>
      <i val="1"/>
      <color rgb="FF434343"/>
      <sz val="11"/>
    </font>
    <font>
      <name val="Open Sans"/>
      <charset val="1"/>
      <family val="0"/>
      <color rgb="FF660099"/>
      <sz val="11"/>
    </font>
    <font>
      <name val="Open Sans"/>
      <charset val="1"/>
      <family val="0"/>
      <i val="1"/>
      <color rgb="FFEFEFEF"/>
      <sz val="10"/>
    </font>
    <font>
      <name val="Open Sans"/>
      <charset val="1"/>
      <family val="0"/>
      <color rgb="FFFFFFFF"/>
      <sz val="10"/>
    </font>
    <font>
      <name val="Open Sans"/>
      <charset val="1"/>
      <family val="0"/>
      <color rgb="FFFFFFFF"/>
      <sz val="8"/>
    </font>
    <font>
      <name val="Open Sans"/>
      <charset val="1"/>
      <family val="0"/>
      <i val="1"/>
      <color rgb="FFEFEFEF"/>
      <sz val="9"/>
    </font>
    <font>
      <name val="Open Sans"/>
      <charset val="1"/>
      <family val="0"/>
      <color rgb="FFFFFFFF"/>
      <sz val="12"/>
    </font>
    <font>
      <name val="Open Sans"/>
      <charset val="1"/>
      <family val="0"/>
      <i val="1"/>
      <color rgb="FFB7B7B7"/>
      <sz val="10"/>
    </font>
    <font>
      <name val="Open Sans"/>
      <charset val="1"/>
      <family val="0"/>
      <b val="1"/>
      <color rgb="FFFFFFFF"/>
      <sz val="11"/>
    </font>
    <font>
      <name val="Open Sans"/>
      <charset val="1"/>
      <family val="0"/>
      <color rgb="FFEFEFEF"/>
      <sz val="12"/>
    </font>
    <font>
      <name val="Open Sans"/>
      <charset val="1"/>
      <family val="0"/>
      <i val="1"/>
      <color rgb="FF666666"/>
      <sz val="10"/>
    </font>
    <font>
      <name val="Open Sans"/>
      <charset val="1"/>
      <family val="0"/>
      <i val="1"/>
      <color rgb="FFB7B7B7"/>
      <sz val="9"/>
    </font>
    <font>
      <name val="Open Sans"/>
      <charset val="1"/>
      <family val="0"/>
      <sz val="11"/>
    </font>
    <font>
      <name val="&quot;Open Sans&quot;"/>
      <charset val="1"/>
      <family val="0"/>
      <color rgb="FF434343"/>
      <sz val="11"/>
    </font>
    <font>
      <name val="Open Sans"/>
      <charset val="1"/>
      <family val="0"/>
      <color rgb="FF434343"/>
      <sz val="9"/>
    </font>
    <font>
      <name val="Open Sans"/>
      <charset val="1"/>
      <family val="0"/>
      <color rgb="FF434343"/>
      <sz val="13"/>
    </font>
    <font>
      <name val="Open Sans"/>
      <charset val="1"/>
      <family val="0"/>
      <color rgb="FF999999"/>
      <sz val="11"/>
    </font>
    <font>
      <name val="Open Sans"/>
      <charset val="1"/>
      <family val="0"/>
      <color rgb="FFFFFFFF"/>
      <sz val="9"/>
    </font>
    <font>
      <name val="Open Sans"/>
      <charset val="1"/>
      <family val="0"/>
      <color rgb="FF999999"/>
      <sz val="9"/>
    </font>
    <font>
      <name val="Open Sans"/>
      <charset val="1"/>
      <family val="0"/>
      <color rgb="FFFFFFFF"/>
      <sz val="13"/>
    </font>
    <font>
      <name val="Open Sans"/>
      <charset val="1"/>
      <family val="0"/>
      <color rgb="FF000000"/>
      <sz val="9"/>
    </font>
    <font>
      <name val="Cambria"/>
      <charset val="1"/>
      <family val="0"/>
      <sz val="11"/>
    </font>
    <font>
      <name val="Open Sans"/>
      <charset val="1"/>
      <family val="0"/>
      <color rgb="FFEFEFEF"/>
      <sz val="17"/>
    </font>
    <font>
      <name val="Open Sans"/>
      <charset val="1"/>
      <family val="0"/>
      <color rgb="FF999999"/>
      <sz val="12"/>
    </font>
    <font>
      <name val="Cambria"/>
      <charset val="1"/>
      <family val="0"/>
      <color rgb="FF434343"/>
      <sz val="12"/>
    </font>
    <font>
      <name val="Cambria"/>
      <charset val="1"/>
      <family val="0"/>
      <color rgb="FF434343"/>
      <sz val="11"/>
    </font>
    <font>
      <name val="Arial"/>
      <charset val="1"/>
      <family val="0"/>
      <color rgb="FF434343"/>
      <sz val="10"/>
    </font>
    <font>
      <name val="Open Sans"/>
      <charset val="1"/>
      <family val="0"/>
      <color rgb="FFFFFFFF"/>
      <sz val="16"/>
    </font>
    <font>
      <name val="Open Sans"/>
      <charset val="1"/>
      <family val="0"/>
      <color rgb="FFEFEFEF"/>
      <sz val="11"/>
    </font>
    <font>
      <name val="Open Sans"/>
      <charset val="1"/>
      <family val="0"/>
      <i val="1"/>
      <color rgb="FFEFEFEF"/>
      <sz val="12"/>
    </font>
    <font>
      <name val="Open Sans"/>
      <charset val="1"/>
      <family val="0"/>
      <sz val="10"/>
    </font>
    <font>
      <name val="Cambria"/>
      <charset val="1"/>
      <family val="0"/>
      <sz val="14"/>
    </font>
  </fonts>
  <fills count="12">
    <fill>
      <patternFill/>
    </fill>
    <fill>
      <patternFill patternType="gray125"/>
    </fill>
    <fill>
      <patternFill patternType="solid">
        <fgColor rgb="FF0B5394"/>
        <bgColor rgb="FF1155CC"/>
      </patternFill>
    </fill>
    <fill>
      <patternFill patternType="solid">
        <fgColor rgb="FF3D85C6"/>
        <bgColor rgb="FF339966"/>
      </patternFill>
    </fill>
    <fill>
      <patternFill patternType="solid">
        <fgColor rgb="FFFFFFFF"/>
        <bgColor rgb="FFEFEFEF"/>
      </patternFill>
    </fill>
    <fill>
      <patternFill patternType="solid">
        <fgColor rgb="FFF9F9CC"/>
        <bgColor rgb="FFEFEFEF"/>
      </patternFill>
    </fill>
    <fill>
      <patternFill patternType="solid">
        <fgColor rgb="FFFFFF00"/>
        <bgColor rgb="FFFFFF00"/>
      </patternFill>
    </fill>
    <fill>
      <patternFill patternType="solid">
        <fgColor rgb="FFF4CCCC"/>
        <bgColor rgb="FFD9D9D9"/>
      </patternFill>
    </fill>
    <fill>
      <patternFill patternType="solid">
        <fgColor rgb="FFCFE2F3"/>
        <bgColor rgb="FFD9D9D9"/>
      </patternFill>
    </fill>
    <fill>
      <patternFill patternType="solid">
        <fgColor rgb="FFD9EAD3"/>
        <bgColor rgb="FFD9D9D9"/>
      </patternFill>
    </fill>
    <fill>
      <patternFill patternType="solid">
        <fgColor rgb="FFB7B7B7"/>
        <bgColor rgb="FFCCCCCC"/>
      </patternFill>
    </fill>
    <fill>
      <patternFill patternType="solid">
        <fgColor rgb="FFCCCCCC"/>
        <bgColor rgb="FFD9D9D9"/>
      </patternFill>
    </fill>
  </fills>
  <borders count="23">
    <border>
      <left/>
      <right/>
      <top/>
      <bottom/>
      <diagonal/>
    </border>
    <border>
      <left style="thin">
        <color rgb="FFB7B7B7"/>
      </left>
      <right style="thin">
        <color rgb="FFB7B7B7"/>
      </right>
      <top style="thin">
        <color rgb="FFB7B7B7"/>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diagonal/>
    </border>
    <border>
      <left style="thin">
        <color rgb="FFB7B7B7"/>
      </left>
      <right style="thin">
        <color rgb="FFB7B7B7"/>
      </right>
      <top style="thin">
        <color rgb="FFB7B7B7"/>
      </top>
      <bottom style="thin">
        <color rgb="FFB7B7B7"/>
      </bottom>
      <diagonal/>
    </border>
    <border>
      <left style="thin">
        <color rgb="FF999999"/>
      </left>
      <right style="thin">
        <color rgb="FF999999"/>
      </right>
      <top/>
      <bottom style="thin">
        <color rgb="FF999999"/>
      </bottom>
      <diagonal/>
    </border>
    <border>
      <left style="thin">
        <color rgb="FF999999"/>
      </left>
      <right style="thin">
        <color rgb="FF999999"/>
      </right>
      <top style="thin">
        <color rgb="FF999999"/>
      </top>
      <bottom/>
      <diagonal/>
    </border>
    <border>
      <left/>
      <right style="thin">
        <color rgb="FF999999"/>
      </right>
      <top/>
      <bottom style="thin">
        <color rgb="FF999999"/>
      </bottom>
      <diagonal/>
    </border>
    <border>
      <left/>
      <right style="thin">
        <color rgb="FF999999"/>
      </right>
      <top style="thin">
        <color rgb="FF999999"/>
      </top>
      <bottom/>
      <diagonal/>
    </border>
    <border>
      <left/>
      <right/>
      <top style="thin">
        <color rgb="FF999999"/>
      </top>
      <bottom style="thin">
        <color rgb="FF999999"/>
      </bottom>
      <diagonal/>
    </border>
    <border>
      <left style="thin">
        <color rgb="FF999999"/>
      </left>
      <right/>
      <top/>
      <bottom/>
      <diagonal/>
    </border>
    <border>
      <left style="thin">
        <color rgb="FF999999"/>
      </left>
      <right style="thin">
        <color rgb="FF999999"/>
      </right>
      <top/>
      <bottom/>
      <diagonal/>
    </border>
    <border>
      <left/>
      <right/>
      <top style="thin">
        <color rgb="FFB7B7B7"/>
      </top>
      <bottom/>
      <diagonal/>
    </border>
    <border>
      <left/>
      <right style="thin">
        <color rgb="FFB7B7B7"/>
      </right>
      <top style="thin">
        <color rgb="FFB7B7B7"/>
      </top>
      <bottom/>
      <diagonal/>
    </border>
    <border>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999999"/>
      </right>
      <top/>
      <bottom/>
      <diagonal/>
    </border>
    <border>
      <left/>
      <right/>
      <top/>
      <bottom style="thin">
        <color rgb="FF999999"/>
      </bottom>
      <diagonal/>
    </border>
    <border>
      <left style="thin">
        <color rgb="FFB7B7B7"/>
      </left>
      <right/>
      <top/>
      <bottom/>
      <diagonal/>
    </border>
    <border>
      <left style="thin">
        <color rgb="FFB7B7B7"/>
      </left>
      <right style="thin">
        <color rgb="FFB7B7B7"/>
      </right>
      <top/>
      <bottom/>
      <diagonal/>
    </border>
    <border>
      <left style="thin">
        <color rgb="FFB7B7B7"/>
      </left>
      <right style="thin">
        <color rgb="FFB7B7B7"/>
      </right>
      <top/>
      <bottom style="thin">
        <color rgb="FFB7B7B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7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5" fillId="2" borderId="0" applyAlignment="1" pivotButton="0" quotePrefix="0" xfId="0">
      <alignment horizontal="general" vertical="center"/>
    </xf>
    <xf numFmtId="0" fontId="6" fillId="0" borderId="0" applyAlignment="1" pivotButton="0" quotePrefix="0" xfId="0">
      <alignment horizontal="general" vertical="center"/>
    </xf>
    <xf numFmtId="0" fontId="6" fillId="0" borderId="0" applyAlignment="1" pivotButton="0" quotePrefix="0" xfId="0">
      <alignment horizontal="general" vertical="center" wrapText="1"/>
    </xf>
    <xf numFmtId="0" fontId="7" fillId="0" borderId="0" applyAlignment="1" pivotButton="0" quotePrefix="0" xfId="0">
      <alignment horizontal="left" vertical="center"/>
    </xf>
    <xf numFmtId="0" fontId="8" fillId="0" borderId="0" applyAlignment="1" pivotButton="0" quotePrefix="0" xfId="0">
      <alignment horizontal="general" vertical="center"/>
    </xf>
    <xf numFmtId="0" fontId="9" fillId="2" borderId="0" applyAlignment="1" pivotButton="0" quotePrefix="0" xfId="0">
      <alignment horizontal="general" vertical="center"/>
    </xf>
    <xf numFmtId="0" fontId="10" fillId="2" borderId="0" applyAlignment="1" pivotButton="0" quotePrefix="0" xfId="0">
      <alignment horizontal="general" vertical="center"/>
    </xf>
    <xf numFmtId="0" fontId="6" fillId="0" borderId="0" applyAlignment="1" pivotButton="0" quotePrefix="0" xfId="0">
      <alignment horizontal="general" vertical="bottom" wrapText="1"/>
    </xf>
    <xf numFmtId="0" fontId="11" fillId="0" borderId="0" applyAlignment="1" pivotButton="0" quotePrefix="0" xfId="0">
      <alignment horizontal="general" vertical="center"/>
    </xf>
    <xf numFmtId="0" fontId="6" fillId="0" borderId="0" applyAlignment="1" pivotButton="0" quotePrefix="0" xfId="0">
      <alignment horizontal="general" vertical="center" wrapText="1"/>
    </xf>
    <xf numFmtId="0" fontId="12" fillId="0" borderId="0" applyAlignment="1" pivotButton="0" quotePrefix="0" xfId="0">
      <alignment horizontal="general" vertical="center"/>
    </xf>
    <xf numFmtId="0" fontId="13" fillId="0" borderId="1" applyAlignment="1" pivotButton="0" quotePrefix="0" xfId="0">
      <alignment horizontal="center" vertical="center" wrapText="1"/>
    </xf>
    <xf numFmtId="0" fontId="13" fillId="0" borderId="0" applyAlignment="1" pivotButton="0" quotePrefix="0" xfId="0">
      <alignment horizontal="center" vertical="center" wrapText="1"/>
    </xf>
    <xf numFmtId="0" fontId="14" fillId="0" borderId="0" applyAlignment="1" pivotButton="0" quotePrefix="0" xfId="0">
      <alignment horizontal="general" vertical="center"/>
    </xf>
    <xf numFmtId="0" fontId="4" fillId="3" borderId="0" applyAlignment="1" pivotButton="0" quotePrefix="0" xfId="0">
      <alignment horizontal="general" vertical="center"/>
    </xf>
    <xf numFmtId="0" fontId="10" fillId="3" borderId="0" applyAlignment="1" pivotButton="0" quotePrefix="0" xfId="0">
      <alignment horizontal="general" vertical="center"/>
    </xf>
    <xf numFmtId="0" fontId="15" fillId="0" borderId="0" applyAlignment="1" pivotButton="0" quotePrefix="0" xfId="0">
      <alignment horizontal="center" vertical="center" wrapText="1"/>
    </xf>
    <xf numFmtId="0" fontId="16" fillId="0" borderId="0" applyAlignment="1" pivotButton="0" quotePrefix="0" xfId="0">
      <alignment horizontal="general" vertical="center"/>
    </xf>
    <xf numFmtId="0" fontId="17" fillId="3" borderId="0" applyAlignment="1" pivotButton="0" quotePrefix="0" xfId="0">
      <alignment horizontal="center" vertical="center"/>
    </xf>
    <xf numFmtId="0" fontId="17" fillId="0" borderId="0" applyAlignment="1" pivotButton="0" quotePrefix="0" xfId="0">
      <alignment horizontal="center" vertical="center"/>
    </xf>
    <xf numFmtId="0" fontId="18" fillId="0" borderId="0" applyAlignment="1" pivotButton="0" quotePrefix="0" xfId="0">
      <alignment horizontal="general" vertical="center"/>
    </xf>
    <xf numFmtId="0" fontId="17" fillId="3" borderId="0" applyAlignment="1" pivotButton="0" quotePrefix="0" xfId="0">
      <alignment horizontal="left" vertical="center" wrapText="1"/>
    </xf>
    <xf numFmtId="49" fontId="8" fillId="0" borderId="0" applyAlignment="1" pivotButton="0" quotePrefix="0" xfId="0">
      <alignment horizontal="left" vertical="center" wrapText="1"/>
    </xf>
    <xf numFmtId="49" fontId="19" fillId="0" borderId="0" applyAlignment="1" pivotButton="0" quotePrefix="0" xfId="0">
      <alignment horizontal="left" vertical="center"/>
    </xf>
    <xf numFmtId="3" fontId="8" fillId="0" borderId="0" applyAlignment="1" pivotButton="0" quotePrefix="0" xfId="0">
      <alignment horizontal="left" vertical="center" wrapText="1"/>
    </xf>
    <xf numFmtId="3" fontId="8" fillId="0" borderId="0" applyAlignment="1" pivotButton="0" quotePrefix="0" xfId="0">
      <alignment horizontal="left" vertical="center"/>
    </xf>
    <xf numFmtId="0" fontId="8" fillId="0" borderId="0" applyAlignment="1" pivotButton="0" quotePrefix="0" xfId="0">
      <alignment horizontal="left" vertical="center"/>
    </xf>
    <xf numFmtId="0" fontId="20" fillId="0" borderId="0" applyAlignment="1" pivotButton="0" quotePrefix="0" xfId="0">
      <alignment horizontal="left" vertical="center"/>
    </xf>
    <xf numFmtId="0" fontId="21" fillId="4" borderId="0" applyAlignment="1" pivotButton="0" quotePrefix="0" xfId="0">
      <alignment horizontal="left" vertical="center"/>
    </xf>
    <xf numFmtId="0" fontId="21" fillId="0" borderId="0" applyAlignment="1" pivotButton="0" quotePrefix="0" xfId="0">
      <alignment horizontal="left" vertical="center"/>
    </xf>
    <xf numFmtId="0" fontId="8" fillId="0" borderId="0" applyAlignment="1" pivotButton="0" quotePrefix="0" xfId="0">
      <alignment horizontal="left" vertical="center" wrapText="1"/>
    </xf>
    <xf numFmtId="0" fontId="17" fillId="2" borderId="0" applyAlignment="1" pivotButton="0" quotePrefix="0" xfId="0">
      <alignment horizontal="left" vertical="center" wrapText="1"/>
    </xf>
    <xf numFmtId="0" fontId="17" fillId="0" borderId="0" applyAlignment="1" pivotButton="0" quotePrefix="0" xfId="0">
      <alignment horizontal="left" vertical="center" wrapText="1"/>
    </xf>
    <xf numFmtId="0" fontId="17" fillId="2" borderId="0" applyAlignment="1" pivotButton="0" quotePrefix="0" xfId="0">
      <alignment horizontal="left" vertical="center" wrapText="1"/>
    </xf>
    <xf numFmtId="0" fontId="13" fillId="4" borderId="0" applyAlignment="1" pivotButton="0" quotePrefix="0" xfId="0">
      <alignment horizontal="center" vertical="center" wrapText="1"/>
    </xf>
    <xf numFmtId="0" fontId="5" fillId="3" borderId="0" applyAlignment="1" pivotButton="0" quotePrefix="0" xfId="0">
      <alignment horizontal="left" vertical="center"/>
    </xf>
    <xf numFmtId="0" fontId="10" fillId="3" borderId="0" applyAlignment="1" pivotButton="0" quotePrefix="0" xfId="0">
      <alignment horizontal="center" vertical="center"/>
    </xf>
    <xf numFmtId="0" fontId="22" fillId="3" borderId="0" applyAlignment="1" pivotButton="0" quotePrefix="0" xfId="0">
      <alignment horizontal="center" vertical="center"/>
    </xf>
    <xf numFmtId="0" fontId="23" fillId="3" borderId="0" applyAlignment="1" pivotButton="0" quotePrefix="0" xfId="0">
      <alignment horizontal="left" vertical="center"/>
    </xf>
    <xf numFmtId="0" fontId="10" fillId="3" borderId="0" applyAlignment="1" pivotButton="0" quotePrefix="0" xfId="0">
      <alignment horizontal="left" vertical="center"/>
    </xf>
    <xf numFmtId="0" fontId="17" fillId="3" borderId="2" applyAlignment="1" pivotButton="0" quotePrefix="0" xfId="0">
      <alignment horizontal="general" vertical="center"/>
    </xf>
    <xf numFmtId="0" fontId="24" fillId="3" borderId="2" applyAlignment="1" pivotButton="0" quotePrefix="0" xfId="0">
      <alignment horizontal="center" vertical="center" wrapText="1"/>
    </xf>
    <xf numFmtId="0" fontId="17" fillId="3" borderId="2" applyAlignment="1" pivotButton="0" quotePrefix="0" xfId="0">
      <alignment horizontal="center" vertical="center" wrapText="1"/>
    </xf>
    <xf numFmtId="49" fontId="17" fillId="3" borderId="2" applyAlignment="1" pivotButton="0" quotePrefix="0" xfId="0">
      <alignment horizontal="center" vertical="center" wrapText="1"/>
    </xf>
    <xf numFmtId="0" fontId="17" fillId="0" borderId="2" applyAlignment="1" pivotButton="0" quotePrefix="0" xfId="0">
      <alignment horizontal="center" vertical="center" wrapText="1"/>
    </xf>
    <xf numFmtId="0" fontId="8" fillId="0" borderId="0" applyAlignment="1" pivotButton="0" quotePrefix="0" xfId="0">
      <alignment horizontal="center" vertical="center"/>
    </xf>
    <xf numFmtId="49" fontId="8" fillId="0" borderId="0" applyAlignment="1" pivotButton="0" quotePrefix="0" xfId="0">
      <alignment horizontal="left" vertical="center"/>
    </xf>
    <xf numFmtId="0" fontId="8" fillId="5" borderId="0" applyAlignment="1" pivotButton="0" quotePrefix="0" xfId="0">
      <alignment horizontal="center" vertical="center"/>
    </xf>
    <xf numFmtId="0" fontId="8" fillId="5" borderId="0" applyAlignment="1" pivotButton="0" quotePrefix="0" xfId="0">
      <alignment horizontal="left" vertical="center"/>
    </xf>
    <xf numFmtId="49" fontId="8" fillId="5" borderId="0" applyAlignment="1" pivotButton="0" quotePrefix="0" xfId="0">
      <alignment horizontal="left" vertical="center"/>
    </xf>
    <xf numFmtId="0" fontId="8" fillId="5" borderId="0" applyAlignment="1" pivotButton="0" quotePrefix="0" xfId="0">
      <alignment horizontal="general" vertical="center"/>
    </xf>
    <xf numFmtId="0" fontId="5" fillId="3" borderId="0" applyAlignment="1" pivotButton="0" quotePrefix="0" xfId="0">
      <alignment horizontal="general" vertical="center"/>
    </xf>
    <xf numFmtId="0" fontId="22" fillId="3" borderId="0" applyAlignment="1" pivotButton="0" quotePrefix="0" xfId="0">
      <alignment horizontal="center" vertical="center"/>
    </xf>
    <xf numFmtId="0" fontId="10" fillId="3" borderId="0" applyAlignment="1" pivotButton="0" quotePrefix="0" xfId="0">
      <alignment horizontal="center" vertical="center"/>
    </xf>
    <xf numFmtId="0" fontId="8" fillId="5" borderId="0" applyAlignment="1" pivotButton="0" quotePrefix="0" xfId="0">
      <alignment horizontal="general" vertical="center" wrapText="1"/>
    </xf>
    <xf numFmtId="0" fontId="8" fillId="0" borderId="0" applyAlignment="1" pivotButton="0" quotePrefix="0" xfId="0">
      <alignment horizontal="general" vertical="center" wrapText="1"/>
    </xf>
    <xf numFmtId="2" fontId="13" fillId="0" borderId="0" applyAlignment="1" pivotButton="0" quotePrefix="0" xfId="0">
      <alignment horizontal="center" vertical="center" wrapText="1"/>
    </xf>
    <xf numFmtId="0" fontId="17" fillId="3" borderId="0" applyAlignment="1" pivotButton="0" quotePrefix="0" xfId="0">
      <alignment horizontal="general" vertical="center" wrapText="1"/>
    </xf>
    <xf numFmtId="2" fontId="17" fillId="3" borderId="2" applyAlignment="1" pivotButton="0" quotePrefix="0" xfId="0">
      <alignment horizontal="center" vertical="center" wrapText="1"/>
    </xf>
    <xf numFmtId="0" fontId="17" fillId="0" borderId="0" applyAlignment="1" pivotButton="0" quotePrefix="0" xfId="0">
      <alignment horizontal="center" vertical="center" wrapText="1"/>
    </xf>
    <xf numFmtId="49" fontId="13" fillId="4" borderId="0" applyAlignment="1" pivotButton="0" quotePrefix="0" xfId="0">
      <alignment horizontal="center" vertical="center" wrapText="1"/>
    </xf>
    <xf numFmtId="0" fontId="5" fillId="3" borderId="0" applyAlignment="1" pivotButton="0" quotePrefix="0" xfId="0">
      <alignment horizontal="left" vertical="center"/>
    </xf>
    <xf numFmtId="0" fontId="25" fillId="3" borderId="0" applyAlignment="1" pivotButton="0" quotePrefix="0" xfId="0">
      <alignment horizontal="center" vertical="center"/>
    </xf>
    <xf numFmtId="0" fontId="26" fillId="3" borderId="0" applyAlignment="1" pivotButton="0" quotePrefix="0" xfId="0">
      <alignment horizontal="center" vertical="center"/>
    </xf>
    <xf numFmtId="0" fontId="10" fillId="3" borderId="0" applyAlignment="1" pivotButton="0" quotePrefix="0" xfId="0">
      <alignment horizontal="general" vertical="center"/>
    </xf>
    <xf numFmtId="0" fontId="17" fillId="3" borderId="0" applyAlignment="1" pivotButton="0" quotePrefix="0" xfId="0">
      <alignment horizontal="right" vertical="center"/>
    </xf>
    <xf numFmtId="0" fontId="26" fillId="3" borderId="2" applyAlignment="1" pivotButton="0" quotePrefix="0" xfId="0">
      <alignment horizontal="center" vertical="center"/>
    </xf>
    <xf numFmtId="0" fontId="27" fillId="0" borderId="0" applyAlignment="1" pivotButton="0" quotePrefix="0" xfId="0">
      <alignment horizontal="center" vertical="center" wrapText="1"/>
    </xf>
    <xf numFmtId="0" fontId="17" fillId="3" borderId="2" applyAlignment="1" pivotButton="0" quotePrefix="0" xfId="0">
      <alignment horizontal="center" vertical="center"/>
    </xf>
    <xf numFmtId="0" fontId="23" fillId="3" borderId="0" applyAlignment="1" pivotButton="0" quotePrefix="0" xfId="0">
      <alignment horizontal="center" vertical="center" wrapText="1"/>
    </xf>
    <xf numFmtId="0" fontId="23" fillId="0" borderId="0" applyAlignment="1" pivotButton="0" quotePrefix="0" xfId="0">
      <alignment horizontal="general" vertical="center" wrapText="1"/>
    </xf>
    <xf numFmtId="0" fontId="8" fillId="4" borderId="0" applyAlignment="1" pivotButton="0" quotePrefix="0" xfId="0">
      <alignment horizontal="left" vertical="center"/>
    </xf>
    <xf numFmtId="0" fontId="8" fillId="4" borderId="0" applyAlignment="1" pivotButton="0" quotePrefix="0" xfId="0">
      <alignment horizontal="center" vertical="center"/>
    </xf>
    <xf numFmtId="49" fontId="8" fillId="4" borderId="0" applyAlignment="1" pivotButton="0" quotePrefix="0" xfId="0">
      <alignment horizontal="right" vertical="center"/>
    </xf>
    <xf numFmtId="0" fontId="13" fillId="0" borderId="0" applyAlignment="1" pivotButton="0" quotePrefix="0" xfId="0">
      <alignment horizontal="left" vertical="center" wrapText="1"/>
    </xf>
    <xf numFmtId="49" fontId="13" fillId="0" borderId="0" applyAlignment="1" pivotButton="0" quotePrefix="0" xfId="0">
      <alignment horizontal="center" vertical="center" wrapText="1"/>
    </xf>
    <xf numFmtId="0" fontId="17" fillId="3" borderId="0" applyAlignment="1" pivotButton="0" quotePrefix="0" xfId="0">
      <alignment horizontal="left" vertical="center" wrapText="1"/>
    </xf>
    <xf numFmtId="0" fontId="10" fillId="3" borderId="0" applyAlignment="1" pivotButton="0" quotePrefix="0" xfId="0">
      <alignment horizontal="left" vertical="center"/>
    </xf>
    <xf numFmtId="49" fontId="26" fillId="3" borderId="2" applyAlignment="1" pivotButton="0" quotePrefix="0" xfId="0">
      <alignment horizontal="center" vertical="center"/>
    </xf>
    <xf numFmtId="0" fontId="26" fillId="3" borderId="3" applyAlignment="1" pivotButton="0" quotePrefix="0" xfId="0">
      <alignment horizontal="center" vertical="center" wrapText="1"/>
    </xf>
    <xf numFmtId="0" fontId="15" fillId="0" borderId="0" applyAlignment="1" pivotButton="0" quotePrefix="0" xfId="0">
      <alignment horizontal="center" vertical="center"/>
    </xf>
    <xf numFmtId="0" fontId="26" fillId="3" borderId="2" applyAlignment="1" pivotButton="0" quotePrefix="0" xfId="0">
      <alignment horizontal="center" vertical="center" wrapText="1"/>
    </xf>
    <xf numFmtId="0" fontId="17" fillId="3" borderId="4" applyAlignment="1" pivotButton="0" quotePrefix="0" xfId="0">
      <alignment horizontal="center" vertical="center"/>
    </xf>
    <xf numFmtId="0" fontId="28" fillId="0" borderId="0" applyAlignment="1" pivotButton="0" quotePrefix="0" xfId="0">
      <alignment horizontal="center" vertical="center"/>
    </xf>
    <xf numFmtId="49" fontId="8" fillId="0" borderId="0" applyAlignment="1" pivotButton="0" quotePrefix="0" xfId="0">
      <alignment horizontal="general" vertical="center"/>
    </xf>
    <xf numFmtId="49" fontId="8" fillId="4" borderId="0" applyAlignment="1" pivotButton="0" quotePrefix="0" xfId="0">
      <alignment horizontal="center" vertical="center"/>
    </xf>
    <xf numFmtId="0" fontId="8" fillId="0" borderId="5" applyAlignment="1" pivotButton="0" quotePrefix="0" xfId="0">
      <alignment horizontal="general" vertical="center"/>
    </xf>
    <xf numFmtId="0" fontId="15" fillId="4" borderId="0" applyAlignment="1" pivotButton="0" quotePrefix="0" xfId="0">
      <alignment horizontal="center" vertical="center" wrapText="1"/>
    </xf>
    <xf numFmtId="0" fontId="29" fillId="3" borderId="0" applyAlignment="1" pivotButton="0" quotePrefix="0" xfId="0">
      <alignment horizontal="left" vertical="center"/>
    </xf>
    <xf numFmtId="0" fontId="30" fillId="4" borderId="0" applyAlignment="1" pivotButton="0" quotePrefix="0" xfId="0">
      <alignment horizontal="center" vertical="center" wrapText="1"/>
    </xf>
    <xf numFmtId="0" fontId="17" fillId="3" borderId="0" applyAlignment="1" pivotButton="0" quotePrefix="0" xfId="0">
      <alignment horizontal="center" vertical="center" wrapText="1"/>
    </xf>
    <xf numFmtId="0" fontId="23" fillId="0" borderId="0" applyAlignment="1" pivotButton="0" quotePrefix="0" xfId="0">
      <alignment horizontal="general" vertical="center"/>
    </xf>
    <xf numFmtId="49" fontId="8" fillId="4" borderId="0" applyAlignment="1" pivotButton="0" quotePrefix="0" xfId="0">
      <alignment horizontal="general" vertical="center" wrapText="1"/>
    </xf>
    <xf numFmtId="49" fontId="8" fillId="4" borderId="0" applyAlignment="1" pivotButton="0" quotePrefix="0" xfId="0">
      <alignment horizontal="left" vertical="center" wrapText="1"/>
    </xf>
    <xf numFmtId="0" fontId="13" fillId="0" borderId="0" applyAlignment="1" pivotButton="0" quotePrefix="0" xfId="0">
      <alignment horizontal="center" vertical="center"/>
    </xf>
    <xf numFmtId="0" fontId="31" fillId="0" borderId="0" applyAlignment="1" pivotButton="0" quotePrefix="0" xfId="0">
      <alignment horizontal="center" vertical="center" wrapText="1"/>
    </xf>
    <xf numFmtId="49" fontId="8" fillId="5" borderId="0" applyAlignment="1" pivotButton="0" quotePrefix="0" xfId="0">
      <alignment horizontal="left" vertical="center" wrapText="1"/>
    </xf>
    <xf numFmtId="0" fontId="32" fillId="0" borderId="0" applyAlignment="1" pivotButton="0" quotePrefix="0" xfId="0">
      <alignment horizontal="general" vertical="center"/>
    </xf>
    <xf numFmtId="0" fontId="13" fillId="4" borderId="0" applyAlignment="1" pivotButton="0" quotePrefix="0" xfId="0">
      <alignment horizontal="left" vertical="center" wrapText="1"/>
    </xf>
    <xf numFmtId="0" fontId="10" fillId="3" borderId="0" applyAlignment="1" pivotButton="0" quotePrefix="0" xfId="0">
      <alignment horizontal="general" vertical="center" wrapText="1"/>
    </xf>
    <xf numFmtId="0" fontId="23" fillId="3" borderId="0" applyAlignment="1" pivotButton="0" quotePrefix="0" xfId="0">
      <alignment horizontal="center" vertical="center"/>
    </xf>
    <xf numFmtId="0" fontId="23" fillId="3" borderId="2" applyAlignment="1" pivotButton="0" quotePrefix="0" xfId="0">
      <alignment horizontal="center" vertical="center" wrapText="1"/>
    </xf>
    <xf numFmtId="0" fontId="23" fillId="0" borderId="2" applyAlignment="1" pivotButton="0" quotePrefix="0" xfId="0">
      <alignment horizontal="general" vertical="center" wrapText="1"/>
    </xf>
    <xf numFmtId="49" fontId="8" fillId="4" borderId="0" applyAlignment="1" pivotButton="0" quotePrefix="0" xfId="0">
      <alignment horizontal="left" vertical="center"/>
    </xf>
    <xf numFmtId="0" fontId="8" fillId="4" borderId="0" applyAlignment="1" pivotButton="0" quotePrefix="0" xfId="0">
      <alignment horizontal="general" vertical="center"/>
    </xf>
    <xf numFmtId="49" fontId="8" fillId="4" borderId="0" applyAlignment="1" pivotButton="0" quotePrefix="0" xfId="0">
      <alignment horizontal="general" vertical="center"/>
    </xf>
    <xf numFmtId="0" fontId="26" fillId="3" borderId="0" applyAlignment="1" pivotButton="0" quotePrefix="0" xfId="0">
      <alignment horizontal="general" vertical="center"/>
    </xf>
    <xf numFmtId="0" fontId="17" fillId="0" borderId="0" applyAlignment="1" pivotButton="0" quotePrefix="0" xfId="0">
      <alignment horizontal="general" vertical="center" wrapText="1"/>
    </xf>
    <xf numFmtId="49" fontId="5" fillId="3" borderId="0" applyAlignment="1" pivotButton="0" quotePrefix="0" xfId="0">
      <alignment horizontal="general" vertical="center"/>
    </xf>
    <xf numFmtId="0" fontId="17" fillId="0" borderId="0" applyAlignment="1" pivotButton="0" quotePrefix="0" xfId="0">
      <alignment horizontal="center" vertical="center" wrapText="1"/>
    </xf>
    <xf numFmtId="0" fontId="5" fillId="3" borderId="0" applyAlignment="1" pivotButton="0" quotePrefix="0" xfId="0">
      <alignment horizontal="center" vertical="center"/>
    </xf>
    <xf numFmtId="0" fontId="20" fillId="5" borderId="0" applyAlignment="1" pivotButton="0" quotePrefix="0" xfId="0">
      <alignment horizontal="left" vertical="center"/>
    </xf>
    <xf numFmtId="0" fontId="8" fillId="4" borderId="0" applyAlignment="1" pivotButton="0" quotePrefix="0" xfId="0">
      <alignment horizontal="left" vertical="center" wrapText="1"/>
    </xf>
    <xf numFmtId="0" fontId="8" fillId="4" borderId="0" applyAlignment="1" pivotButton="0" quotePrefix="0" xfId="0">
      <alignment horizontal="center" vertical="center" wrapText="1"/>
    </xf>
    <xf numFmtId="0" fontId="13" fillId="4" borderId="0" applyAlignment="1" pivotButton="0" quotePrefix="0" xfId="0">
      <alignment horizontal="center" vertical="center"/>
    </xf>
    <xf numFmtId="0" fontId="17" fillId="3" borderId="2" applyAlignment="1" pivotButton="0" quotePrefix="0" xfId="0">
      <alignment horizontal="right" vertical="center"/>
    </xf>
    <xf numFmtId="49" fontId="17" fillId="3" borderId="2" applyAlignment="1" pivotButton="0" quotePrefix="0" xfId="0">
      <alignment horizontal="right" vertical="center"/>
    </xf>
    <xf numFmtId="49" fontId="17" fillId="3" borderId="2" applyAlignment="1" pivotButton="0" quotePrefix="0" xfId="0">
      <alignment horizontal="center" vertical="center"/>
    </xf>
    <xf numFmtId="0" fontId="17" fillId="4" borderId="0" applyAlignment="1" pivotButton="0" quotePrefix="0" xfId="0">
      <alignment horizontal="center" vertical="center"/>
    </xf>
    <xf numFmtId="49" fontId="8" fillId="5" borderId="0" applyAlignment="1" pivotButton="0" quotePrefix="0" xfId="0">
      <alignment horizontal="right" vertical="center"/>
    </xf>
    <xf numFmtId="49" fontId="13" fillId="0" borderId="0" applyAlignment="1" pivotButton="0" quotePrefix="0" xfId="0">
      <alignment horizontal="right" vertical="center" wrapText="1"/>
    </xf>
    <xf numFmtId="0" fontId="13" fillId="4" borderId="0" applyAlignment="1" pivotButton="0" quotePrefix="0" xfId="0">
      <alignment horizontal="right" vertical="center" wrapText="1"/>
    </xf>
    <xf numFmtId="0" fontId="23" fillId="3" borderId="0" applyAlignment="1" pivotButton="0" quotePrefix="0" xfId="0">
      <alignment horizontal="general" vertical="center"/>
    </xf>
    <xf numFmtId="0" fontId="23" fillId="3" borderId="0" applyAlignment="1" pivotButton="0" quotePrefix="0" xfId="0">
      <alignment horizontal="left" vertical="center"/>
    </xf>
    <xf numFmtId="0" fontId="17" fillId="0" borderId="0" applyAlignment="1" pivotButton="0" quotePrefix="0" xfId="0">
      <alignment horizontal="center" vertical="bottom"/>
    </xf>
    <xf numFmtId="0" fontId="8" fillId="4" borderId="0" applyAlignment="1" pivotButton="0" quotePrefix="0" xfId="0">
      <alignment horizontal="center" vertical="bottom"/>
    </xf>
    <xf numFmtId="0" fontId="33" fillId="4" borderId="0" applyAlignment="1" pivotButton="0" quotePrefix="0" xfId="0">
      <alignment horizontal="general" vertical="center"/>
    </xf>
    <xf numFmtId="0" fontId="17" fillId="0" borderId="0" applyAlignment="1" pivotButton="0" quotePrefix="0" xfId="0">
      <alignment horizontal="center" vertical="center"/>
    </xf>
    <xf numFmtId="0" fontId="23" fillId="0" borderId="0" applyAlignment="1" pivotButton="0" quotePrefix="0" xfId="0">
      <alignment horizontal="center" vertical="center"/>
    </xf>
    <xf numFmtId="0" fontId="12" fillId="3" borderId="6" applyAlignment="1" pivotButton="0" quotePrefix="0" xfId="0">
      <alignment horizontal="center" vertical="center"/>
    </xf>
    <xf numFmtId="0" fontId="26" fillId="3" borderId="6" applyAlignment="1" pivotButton="0" quotePrefix="0" xfId="0">
      <alignment horizontal="center" vertical="center"/>
    </xf>
    <xf numFmtId="0" fontId="12" fillId="3" borderId="2" applyAlignment="1" pivotButton="0" quotePrefix="0" xfId="0">
      <alignment horizontal="center" vertical="center" wrapText="1"/>
    </xf>
    <xf numFmtId="0" fontId="12" fillId="3" borderId="7" applyAlignment="1" pivotButton="0" quotePrefix="0" xfId="0">
      <alignment horizontal="center" vertical="center" wrapText="1"/>
    </xf>
    <xf numFmtId="0" fontId="17" fillId="3" borderId="7" applyAlignment="1" pivotButton="0" quotePrefix="0" xfId="0">
      <alignment horizontal="center" vertical="center" wrapText="1"/>
    </xf>
    <xf numFmtId="0" fontId="23" fillId="0" borderId="0" applyAlignment="1" pivotButton="0" quotePrefix="0" xfId="0">
      <alignment horizontal="center" vertical="center" wrapText="1"/>
    </xf>
    <xf numFmtId="164" fontId="13" fillId="0" borderId="0" applyAlignment="1" pivotButton="0" quotePrefix="0" xfId="0">
      <alignment horizontal="center" vertical="center"/>
    </xf>
    <xf numFmtId="0" fontId="8" fillId="0" borderId="0" applyAlignment="1" pivotButton="0" quotePrefix="0" xfId="0">
      <alignment horizontal="center" vertical="bottom" wrapText="1"/>
    </xf>
    <xf numFmtId="0" fontId="32" fillId="6" borderId="0" applyAlignment="1" pivotButton="0" quotePrefix="0" xfId="0">
      <alignment horizontal="general" vertical="bottom"/>
    </xf>
    <xf numFmtId="0" fontId="32" fillId="0" borderId="0" applyAlignment="1" pivotButton="0" quotePrefix="0" xfId="0">
      <alignment horizontal="general" vertical="bottom"/>
    </xf>
    <xf numFmtId="0" fontId="5" fillId="3" borderId="0" applyAlignment="1" pivotButton="0" quotePrefix="0" xfId="0">
      <alignment horizontal="general" vertical="bottom"/>
    </xf>
    <xf numFmtId="0" fontId="32" fillId="3" borderId="0" applyAlignment="1" pivotButton="0" quotePrefix="0" xfId="0">
      <alignment horizontal="general" vertical="bottom"/>
    </xf>
    <xf numFmtId="0" fontId="17" fillId="3" borderId="0" applyAlignment="1" pivotButton="0" quotePrefix="0" xfId="0">
      <alignment horizontal="center" vertical="bottom" wrapText="1"/>
    </xf>
    <xf numFmtId="0" fontId="34" fillId="4" borderId="0" applyAlignment="1" pivotButton="0" quotePrefix="0" xfId="0">
      <alignment horizontal="center" vertical="center"/>
    </xf>
    <xf numFmtId="0" fontId="23" fillId="3" borderId="0" applyAlignment="1" pivotButton="0" quotePrefix="0" xfId="0">
      <alignment horizontal="center" vertical="center"/>
    </xf>
    <xf numFmtId="0" fontId="35" fillId="3" borderId="0" applyAlignment="1" pivotButton="0" quotePrefix="0" xfId="0">
      <alignment horizontal="general" vertical="center"/>
    </xf>
    <xf numFmtId="0" fontId="36" fillId="3" borderId="2" applyAlignment="1" pivotButton="0" quotePrefix="0" xfId="0">
      <alignment horizontal="center" vertical="center" wrapText="1"/>
    </xf>
    <xf numFmtId="0" fontId="37" fillId="3" borderId="0" applyAlignment="1" pivotButton="0" quotePrefix="0" xfId="0">
      <alignment horizontal="center" vertical="center" wrapText="1"/>
    </xf>
    <xf numFmtId="0" fontId="17" fillId="3" borderId="0" applyAlignment="1" pivotButton="0" quotePrefix="0" xfId="0">
      <alignment horizontal="center" vertical="center" wrapText="1"/>
    </xf>
    <xf numFmtId="0" fontId="34" fillId="4" borderId="0" applyAlignment="1" pivotButton="0" quotePrefix="0" xfId="0">
      <alignment horizontal="left" vertical="center"/>
    </xf>
    <xf numFmtId="49" fontId="13" fillId="0" borderId="0" applyAlignment="1" pivotButton="0" quotePrefix="0" xfId="0">
      <alignment horizontal="left" vertical="center" wrapText="1"/>
    </xf>
    <xf numFmtId="49" fontId="10" fillId="3" borderId="0" applyAlignment="1" pivotButton="0" quotePrefix="0" xfId="0">
      <alignment horizontal="left" vertical="center" wrapText="1"/>
    </xf>
    <xf numFmtId="0" fontId="17" fillId="3" borderId="0" applyAlignment="1" pivotButton="0" quotePrefix="0" xfId="0">
      <alignment horizontal="left" vertical="center"/>
    </xf>
    <xf numFmtId="0" fontId="38" fillId="3" borderId="2" applyAlignment="1" pivotButton="0" quotePrefix="0" xfId="0">
      <alignment horizontal="center" vertical="center" wrapText="1"/>
    </xf>
    <xf numFmtId="49" fontId="13" fillId="0" borderId="0" applyAlignment="1" pivotButton="0" quotePrefix="0" xfId="0">
      <alignment horizontal="center" vertical="center"/>
    </xf>
    <xf numFmtId="0" fontId="13" fillId="0" borderId="0" applyAlignment="1" pivotButton="0" quotePrefix="0" xfId="0">
      <alignment horizontal="left" vertical="center"/>
    </xf>
    <xf numFmtId="0" fontId="39" fillId="3" borderId="0" applyAlignment="1" pivotButton="0" quotePrefix="0" xfId="0">
      <alignment horizontal="left" vertical="center"/>
    </xf>
    <xf numFmtId="49" fontId="34" fillId="0" borderId="0" applyAlignment="1" pivotButton="0" quotePrefix="0" xfId="0">
      <alignment horizontal="center" vertical="center" wrapText="1"/>
    </xf>
    <xf numFmtId="49" fontId="40" fillId="0" borderId="0" applyAlignment="1" pivotButton="0" quotePrefix="0" xfId="0">
      <alignment horizontal="center" vertical="center"/>
    </xf>
    <xf numFmtId="49" fontId="34" fillId="0" borderId="0" applyAlignment="1" pivotButton="0" quotePrefix="0" xfId="0">
      <alignment horizontal="center" vertical="center"/>
    </xf>
    <xf numFmtId="49" fontId="34" fillId="4" borderId="0" applyAlignment="1" pivotButton="0" quotePrefix="0" xfId="0">
      <alignment horizontal="center" vertical="center" wrapText="1"/>
    </xf>
    <xf numFmtId="49" fontId="34" fillId="4" borderId="0" applyAlignment="1" pivotButton="0" quotePrefix="0" xfId="0">
      <alignment horizontal="left" vertical="center" wrapText="1"/>
    </xf>
    <xf numFmtId="3" fontId="34" fillId="4" borderId="0" applyAlignment="1" pivotButton="0" quotePrefix="0" xfId="0">
      <alignment horizontal="center" vertical="center" wrapText="1"/>
    </xf>
    <xf numFmtId="0" fontId="34" fillId="0" borderId="0" applyAlignment="1" pivotButton="0" quotePrefix="0" xfId="0">
      <alignment horizontal="center" vertical="center" wrapText="1"/>
    </xf>
    <xf numFmtId="0" fontId="34" fillId="4" borderId="0" applyAlignment="1" pivotButton="0" quotePrefix="0" xfId="0">
      <alignment horizontal="center" vertical="center" wrapText="1"/>
    </xf>
    <xf numFmtId="49" fontId="34" fillId="4" borderId="0" applyAlignment="1" pivotButton="0" quotePrefix="0" xfId="0">
      <alignment horizontal="left" vertical="center"/>
    </xf>
    <xf numFmtId="49" fontId="34" fillId="4" borderId="0" applyAlignment="1" pivotButton="0" quotePrefix="0" xfId="0">
      <alignment horizontal="center" vertical="center"/>
    </xf>
    <xf numFmtId="0" fontId="41" fillId="4" borderId="0" applyAlignment="1" pivotButton="0" quotePrefix="0" xfId="0">
      <alignment horizontal="center" vertical="center"/>
    </xf>
    <xf numFmtId="49" fontId="5" fillId="3" borderId="0" applyAlignment="1" pivotButton="0" quotePrefix="0" xfId="0">
      <alignment horizontal="left" vertical="center"/>
    </xf>
    <xf numFmtId="49" fontId="39" fillId="3" borderId="0" applyAlignment="1" pivotButton="0" quotePrefix="0" xfId="0">
      <alignment horizontal="center" vertical="center"/>
    </xf>
    <xf numFmtId="49" fontId="13" fillId="3" borderId="0" applyAlignment="1" pivotButton="0" quotePrefix="0" xfId="0">
      <alignment horizontal="left" vertical="center"/>
    </xf>
    <xf numFmtId="0" fontId="42" fillId="3" borderId="0" applyAlignment="1" pivotButton="0" quotePrefix="0" xfId="0">
      <alignment horizontal="center" vertical="center"/>
    </xf>
    <xf numFmtId="49" fontId="39" fillId="3" borderId="0" applyAlignment="1" pivotButton="0" quotePrefix="0" xfId="0">
      <alignment horizontal="left" vertical="center"/>
    </xf>
    <xf numFmtId="3" fontId="26" fillId="3" borderId="8" applyAlignment="1" pivotButton="0" quotePrefix="0" xfId="0">
      <alignment horizontal="center" vertical="center"/>
    </xf>
    <xf numFmtId="0" fontId="17" fillId="3" borderId="8" applyAlignment="1" pivotButton="0" quotePrefix="0" xfId="0">
      <alignment horizontal="center" vertical="center" wrapText="1"/>
    </xf>
    <xf numFmtId="0" fontId="18" fillId="3" borderId="8" applyAlignment="1" pivotButton="0" quotePrefix="0" xfId="0">
      <alignment horizontal="left" vertical="center"/>
    </xf>
    <xf numFmtId="0" fontId="15" fillId="4" borderId="0" applyAlignment="1" pivotButton="0" quotePrefix="0" xfId="0">
      <alignment horizontal="center" vertical="center"/>
    </xf>
    <xf numFmtId="49" fontId="24" fillId="3" borderId="2" applyAlignment="1" pivotButton="0" quotePrefix="0" xfId="0">
      <alignment horizontal="center" vertical="center" wrapText="1"/>
    </xf>
    <xf numFmtId="3" fontId="17" fillId="3" borderId="2" applyAlignment="1" pivotButton="0" quotePrefix="0" xfId="0">
      <alignment horizontal="center" vertical="center" wrapText="1"/>
    </xf>
    <xf numFmtId="0" fontId="41" fillId="4" borderId="0" applyAlignment="1" pivotButton="0" quotePrefix="0" xfId="0">
      <alignment horizontal="general" vertical="center"/>
    </xf>
    <xf numFmtId="49" fontId="6" fillId="7" borderId="0" applyAlignment="1" pivotButton="0" quotePrefix="0" xfId="0">
      <alignment horizontal="center" vertical="center"/>
    </xf>
    <xf numFmtId="0" fontId="6" fillId="7" borderId="0" applyAlignment="1" pivotButton="0" quotePrefix="0" xfId="0">
      <alignment horizontal="general" vertical="center"/>
    </xf>
    <xf numFmtId="49" fontId="6" fillId="7" borderId="0" applyAlignment="1" pivotButton="0" quotePrefix="0" xfId="0">
      <alignment horizontal="left" vertical="center"/>
    </xf>
    <xf numFmtId="0" fontId="6" fillId="7" borderId="0" applyAlignment="1" pivotButton="0" quotePrefix="0" xfId="0">
      <alignment horizontal="left" vertical="center"/>
    </xf>
    <xf numFmtId="49" fontId="6" fillId="7" borderId="0" applyAlignment="1" pivotButton="0" quotePrefix="0" xfId="0">
      <alignment horizontal="general" vertical="center"/>
    </xf>
    <xf numFmtId="0" fontId="6" fillId="7" borderId="0" applyAlignment="1" pivotButton="0" quotePrefix="0" xfId="0">
      <alignment horizontal="center" vertical="center"/>
    </xf>
    <xf numFmtId="3" fontId="6" fillId="7" borderId="0" applyAlignment="1" pivotButton="0" quotePrefix="0" xfId="0">
      <alignment horizontal="center" vertical="center"/>
    </xf>
    <xf numFmtId="0" fontId="43" fillId="7" borderId="0" applyAlignment="1" pivotButton="0" quotePrefix="0" xfId="0">
      <alignment horizontal="center" vertical="center"/>
    </xf>
    <xf numFmtId="0" fontId="43" fillId="7" borderId="0" applyAlignment="1" pivotButton="0" quotePrefix="0" xfId="0">
      <alignment horizontal="general" vertical="center"/>
    </xf>
    <xf numFmtId="0" fontId="44" fillId="7" borderId="0" applyAlignment="1" pivotButton="0" quotePrefix="0" xfId="0">
      <alignment horizontal="general" vertical="center"/>
    </xf>
    <xf numFmtId="49" fontId="8" fillId="7" borderId="0" applyAlignment="1" pivotButton="0" quotePrefix="0" xfId="0">
      <alignment horizontal="center" vertical="center"/>
    </xf>
    <xf numFmtId="49" fontId="8" fillId="7" borderId="0" applyAlignment="1" pivotButton="0" quotePrefix="0" xfId="0">
      <alignment horizontal="general" vertical="center"/>
    </xf>
    <xf numFmtId="0" fontId="8" fillId="7" borderId="0" applyAlignment="1" pivotButton="0" quotePrefix="0" xfId="0">
      <alignment horizontal="general" vertical="center"/>
    </xf>
    <xf numFmtId="49" fontId="8" fillId="7" borderId="0" applyAlignment="1" pivotButton="0" quotePrefix="0" xfId="0">
      <alignment horizontal="left" vertical="center"/>
    </xf>
    <xf numFmtId="0" fontId="8" fillId="7" borderId="0" applyAlignment="1" pivotButton="0" quotePrefix="0" xfId="0">
      <alignment horizontal="left" vertical="center"/>
    </xf>
    <xf numFmtId="0" fontId="8" fillId="7" borderId="0" applyAlignment="1" pivotButton="0" quotePrefix="0" xfId="0">
      <alignment horizontal="center" vertical="center"/>
    </xf>
    <xf numFmtId="3" fontId="8" fillId="7" borderId="0" applyAlignment="1" pivotButton="0" quotePrefix="0" xfId="0">
      <alignment horizontal="center" vertical="center"/>
    </xf>
    <xf numFmtId="0" fontId="38" fillId="7" borderId="0" applyAlignment="1" pivotButton="0" quotePrefix="0" xfId="0">
      <alignment horizontal="center" vertical="center"/>
    </xf>
    <xf numFmtId="0" fontId="38" fillId="7" borderId="0" applyAlignment="1" pivotButton="0" quotePrefix="0" xfId="0">
      <alignment horizontal="general" vertical="center"/>
    </xf>
    <xf numFmtId="0" fontId="45" fillId="7" borderId="0" applyAlignment="1" pivotButton="0" quotePrefix="0" xfId="0">
      <alignment horizontal="general" vertical="center"/>
    </xf>
    <xf numFmtId="49" fontId="8" fillId="8" borderId="0" applyAlignment="1" pivotButton="0" quotePrefix="0" xfId="0">
      <alignment horizontal="center" vertical="center"/>
    </xf>
    <xf numFmtId="0" fontId="8" fillId="8" borderId="0" applyAlignment="1" pivotButton="0" quotePrefix="0" xfId="0">
      <alignment horizontal="general" vertical="center"/>
    </xf>
    <xf numFmtId="0" fontId="8" fillId="8" borderId="0" applyAlignment="1" pivotButton="0" quotePrefix="0" xfId="0">
      <alignment horizontal="left" vertical="center"/>
    </xf>
    <xf numFmtId="0" fontId="8" fillId="8" borderId="0" applyAlignment="1" pivotButton="0" quotePrefix="0" xfId="0">
      <alignment horizontal="center" vertical="center"/>
    </xf>
    <xf numFmtId="49" fontId="8" fillId="8" borderId="0" applyAlignment="1" pivotButton="0" quotePrefix="0" xfId="0">
      <alignment horizontal="left" vertical="center"/>
    </xf>
    <xf numFmtId="0" fontId="38" fillId="8" borderId="0" applyAlignment="1" pivotButton="0" quotePrefix="0" xfId="0">
      <alignment horizontal="center" vertical="center"/>
    </xf>
    <xf numFmtId="0" fontId="38" fillId="8" borderId="0" applyAlignment="1" pivotButton="0" quotePrefix="0" xfId="0">
      <alignment horizontal="general" vertical="center"/>
    </xf>
    <xf numFmtId="0" fontId="45" fillId="8" borderId="0" applyAlignment="1" pivotButton="0" quotePrefix="0" xfId="0">
      <alignment horizontal="general" vertical="center"/>
    </xf>
    <xf numFmtId="49" fontId="8" fillId="8" borderId="0" applyAlignment="1" pivotButton="0" quotePrefix="0" xfId="0">
      <alignment horizontal="general" vertical="center"/>
    </xf>
    <xf numFmtId="49" fontId="8" fillId="9" borderId="0" applyAlignment="1" pivotButton="0" quotePrefix="0" xfId="0">
      <alignment horizontal="center" vertical="center"/>
    </xf>
    <xf numFmtId="49" fontId="8" fillId="9" borderId="0" applyAlignment="1" pivotButton="0" quotePrefix="0" xfId="0">
      <alignment horizontal="general" vertical="center"/>
    </xf>
    <xf numFmtId="0" fontId="8" fillId="9" borderId="0" applyAlignment="1" pivotButton="0" quotePrefix="0" xfId="0">
      <alignment horizontal="general" vertical="center"/>
    </xf>
    <xf numFmtId="49" fontId="8" fillId="9" borderId="0" applyAlignment="1" pivotButton="0" quotePrefix="0" xfId="0">
      <alignment horizontal="left" vertical="center"/>
    </xf>
    <xf numFmtId="0" fontId="8" fillId="9" borderId="0" applyAlignment="1" pivotButton="0" quotePrefix="0" xfId="0">
      <alignment horizontal="left" vertical="center"/>
    </xf>
    <xf numFmtId="0" fontId="8" fillId="9" borderId="0" applyAlignment="1" pivotButton="0" quotePrefix="0" xfId="0">
      <alignment horizontal="center" vertical="center"/>
    </xf>
    <xf numFmtId="3" fontId="8" fillId="9" borderId="0" applyAlignment="1" pivotButton="0" quotePrefix="0" xfId="0">
      <alignment horizontal="center" vertical="center"/>
    </xf>
    <xf numFmtId="0" fontId="38" fillId="9" borderId="0" applyAlignment="1" pivotButton="0" quotePrefix="0" xfId="0">
      <alignment horizontal="center" vertical="center"/>
    </xf>
    <xf numFmtId="0" fontId="38" fillId="9" borderId="0" applyAlignment="1" pivotButton="0" quotePrefix="0" xfId="0">
      <alignment horizontal="general" vertical="center"/>
    </xf>
    <xf numFmtId="0" fontId="45" fillId="9" borderId="0" applyAlignment="1" pivotButton="0" quotePrefix="0" xfId="0">
      <alignment horizontal="general" vertical="center"/>
    </xf>
    <xf numFmtId="3" fontId="8" fillId="4" borderId="0" applyAlignment="1" pivotButton="0" quotePrefix="0" xfId="0">
      <alignment horizontal="center" vertical="center"/>
    </xf>
    <xf numFmtId="0" fontId="38" fillId="4" borderId="0" applyAlignment="1" pivotButton="0" quotePrefix="0" xfId="0">
      <alignment horizontal="center" vertical="center"/>
    </xf>
    <xf numFmtId="0" fontId="38" fillId="4" borderId="0" applyAlignment="1" pivotButton="0" quotePrefix="0" xfId="0">
      <alignment horizontal="general" vertical="center"/>
    </xf>
    <xf numFmtId="0" fontId="45" fillId="4" borderId="0" applyAlignment="1" pivotButton="0" quotePrefix="0" xfId="0">
      <alignment horizontal="general" vertical="center"/>
    </xf>
    <xf numFmtId="0" fontId="35" fillId="0" borderId="0" applyAlignment="1" pivotButton="0" quotePrefix="0" xfId="0">
      <alignment horizontal="general" vertical="center"/>
    </xf>
    <xf numFmtId="49" fontId="5" fillId="3" borderId="0" applyAlignment="1" pivotButton="0" quotePrefix="0" xfId="0">
      <alignment horizontal="left" vertical="center"/>
    </xf>
    <xf numFmtId="49" fontId="23" fillId="3" borderId="2" applyAlignment="1" pivotButton="0" quotePrefix="0" xfId="0">
      <alignment horizontal="center" vertical="center"/>
    </xf>
    <xf numFmtId="0" fontId="23" fillId="3" borderId="2" applyAlignment="1" pivotButton="0" quotePrefix="0" xfId="0">
      <alignment horizontal="center" vertical="center"/>
    </xf>
    <xf numFmtId="0" fontId="23" fillId="0" borderId="0" applyAlignment="1" pivotButton="0" quotePrefix="0" xfId="0">
      <alignment horizontal="center" vertical="center"/>
    </xf>
    <xf numFmtId="0" fontId="46" fillId="0" borderId="0" applyAlignment="1" pivotButton="0" quotePrefix="0" xfId="0">
      <alignment horizontal="center" vertical="center" wrapText="1"/>
    </xf>
    <xf numFmtId="49" fontId="46" fillId="4" borderId="0" applyAlignment="1" pivotButton="0" quotePrefix="0" xfId="0">
      <alignment horizontal="center" vertical="center" wrapText="1"/>
    </xf>
    <xf numFmtId="0" fontId="10" fillId="3" borderId="2" applyAlignment="1" pivotButton="0" quotePrefix="0" xfId="0">
      <alignment horizontal="center" vertical="center"/>
    </xf>
    <xf numFmtId="49" fontId="10" fillId="3" borderId="0" applyAlignment="1" pivotButton="0" quotePrefix="0" xfId="0">
      <alignment horizontal="center" vertical="center"/>
    </xf>
    <xf numFmtId="49" fontId="47" fillId="3" borderId="0" applyAlignment="1" pivotButton="0" quotePrefix="0" xfId="0">
      <alignment horizontal="left" vertical="center"/>
    </xf>
    <xf numFmtId="0" fontId="48" fillId="3" borderId="3" applyAlignment="1" pivotButton="0" quotePrefix="0" xfId="0">
      <alignment horizontal="center" vertical="center"/>
    </xf>
    <xf numFmtId="49" fontId="10" fillId="3" borderId="9" applyAlignment="1" pivotButton="0" quotePrefix="0" xfId="0">
      <alignment horizontal="center" vertical="center" wrapText="1"/>
    </xf>
    <xf numFmtId="0" fontId="15" fillId="0" borderId="0" applyAlignment="1" pivotButton="0" quotePrefix="0" xfId="0">
      <alignment horizontal="center" vertical="center" wrapText="1"/>
    </xf>
    <xf numFmtId="49" fontId="13" fillId="0" borderId="0" applyAlignment="1" pivotButton="0" quotePrefix="0" xfId="0">
      <alignment horizontal="left" vertical="center"/>
    </xf>
    <xf numFmtId="49" fontId="13" fillId="4" borderId="0" applyAlignment="1" pivotButton="0" quotePrefix="0" xfId="0">
      <alignment horizontal="left" vertical="center" wrapText="1"/>
    </xf>
    <xf numFmtId="0" fontId="13" fillId="0" borderId="0" applyAlignment="1" pivotButton="0" quotePrefix="0" xfId="0">
      <alignment horizontal="right" vertical="center" wrapText="1"/>
    </xf>
    <xf numFmtId="0" fontId="29" fillId="3" borderId="0" applyAlignment="1" pivotButton="0" quotePrefix="0" xfId="0">
      <alignment horizontal="left" vertical="center"/>
    </xf>
    <xf numFmtId="0" fontId="39" fillId="3" borderId="0" applyAlignment="1" pivotButton="0" quotePrefix="0" xfId="0">
      <alignment horizontal="left" vertical="center" wrapText="1"/>
    </xf>
    <xf numFmtId="0" fontId="39" fillId="3" borderId="0" applyAlignment="1" pivotButton="0" quotePrefix="0" xfId="0">
      <alignment horizontal="center" vertical="center"/>
    </xf>
    <xf numFmtId="0" fontId="10" fillId="3" borderId="0" applyAlignment="1" pivotButton="0" quotePrefix="0" xfId="0">
      <alignment horizontal="right" vertical="center"/>
    </xf>
    <xf numFmtId="49" fontId="8" fillId="0" borderId="0" applyAlignment="1" pivotButton="0" quotePrefix="0" xfId="0">
      <alignment horizontal="center" vertical="center"/>
    </xf>
    <xf numFmtId="49" fontId="8" fillId="0" borderId="0" applyAlignment="1" pivotButton="0" quotePrefix="0" xfId="0">
      <alignment horizontal="right" vertical="center"/>
    </xf>
    <xf numFmtId="0" fontId="8" fillId="0" borderId="0" applyAlignment="1" pivotButton="0" quotePrefix="0" xfId="0">
      <alignment horizontal="right" vertical="center"/>
    </xf>
    <xf numFmtId="49" fontId="8" fillId="0" borderId="0" applyAlignment="1" pivotButton="0" quotePrefix="0" xfId="0">
      <alignment horizontal="general" vertical="bottom"/>
    </xf>
    <xf numFmtId="49" fontId="8" fillId="10" borderId="0" applyAlignment="1" pivotButton="0" quotePrefix="0" xfId="0">
      <alignment horizontal="left" vertical="center"/>
    </xf>
    <xf numFmtId="0" fontId="8" fillId="10" borderId="0" applyAlignment="1" pivotButton="0" quotePrefix="0" xfId="0">
      <alignment horizontal="general" vertical="center"/>
    </xf>
    <xf numFmtId="0" fontId="8" fillId="10" borderId="0" applyAlignment="1" pivotButton="0" quotePrefix="0" xfId="0">
      <alignment horizontal="left" vertical="center"/>
    </xf>
    <xf numFmtId="0" fontId="8" fillId="10" borderId="0" applyAlignment="1" pivotButton="0" quotePrefix="0" xfId="0">
      <alignment horizontal="center" vertical="center"/>
    </xf>
    <xf numFmtId="0" fontId="26" fillId="3" borderId="0" applyAlignment="1" pivotButton="0" quotePrefix="0" xfId="0">
      <alignment horizontal="left" vertical="center"/>
    </xf>
    <xf numFmtId="0" fontId="49" fillId="3" borderId="0" applyAlignment="1" pivotButton="0" quotePrefix="0" xfId="0">
      <alignment horizontal="center" vertical="center" wrapText="1"/>
    </xf>
    <xf numFmtId="49" fontId="26" fillId="3" borderId="0" applyAlignment="1" pivotButton="0" quotePrefix="0" xfId="0">
      <alignment horizontal="left" vertical="center"/>
    </xf>
    <xf numFmtId="165" fontId="8" fillId="0" borderId="0" applyAlignment="1" pivotButton="0" quotePrefix="0" xfId="0">
      <alignment horizontal="center" vertical="center"/>
    </xf>
    <xf numFmtId="2" fontId="13" fillId="4" borderId="0" applyAlignment="1" pivotButton="0" quotePrefix="0" xfId="0">
      <alignment horizontal="center" vertical="center" wrapText="1"/>
    </xf>
    <xf numFmtId="2" fontId="23" fillId="3" borderId="0" applyAlignment="1" pivotButton="0" quotePrefix="0" xfId="0">
      <alignment horizontal="left" vertical="center"/>
    </xf>
    <xf numFmtId="2" fontId="8" fillId="0" borderId="0" applyAlignment="1" pivotButton="0" quotePrefix="0" xfId="0">
      <alignment horizontal="center" vertical="center"/>
    </xf>
    <xf numFmtId="2" fontId="8" fillId="0" borderId="5" applyAlignment="1" pivotButton="0" quotePrefix="0" xfId="0">
      <alignment horizontal="center" vertical="center"/>
    </xf>
    <xf numFmtId="0" fontId="8" fillId="11" borderId="0" applyAlignment="1" pivotButton="0" quotePrefix="0" xfId="0">
      <alignment horizontal="left" vertical="center"/>
    </xf>
    <xf numFmtId="0" fontId="8" fillId="11" borderId="0" applyAlignment="1" pivotButton="0" quotePrefix="0" xfId="0">
      <alignment horizontal="general" vertical="center"/>
    </xf>
    <xf numFmtId="0" fontId="8" fillId="11" borderId="0" applyAlignment="1" pivotButton="0" quotePrefix="0" xfId="0">
      <alignment horizontal="center" vertical="center"/>
    </xf>
    <xf numFmtId="0" fontId="8" fillId="0" borderId="0" applyAlignment="1" pivotButton="0" quotePrefix="0" xfId="0">
      <alignment horizontal="center" vertical="center" wrapText="1"/>
    </xf>
    <xf numFmtId="0" fontId="32" fillId="3" borderId="0" applyAlignment="1" pivotButton="0" quotePrefix="0" xfId="0">
      <alignment horizontal="general" vertical="center"/>
    </xf>
    <xf numFmtId="0" fontId="32" fillId="0" borderId="0" applyAlignment="1" pivotButton="0" quotePrefix="0" xfId="0">
      <alignment horizontal="general" vertical="center"/>
    </xf>
    <xf numFmtId="0" fontId="13" fillId="0" borderId="0" applyAlignment="1" pivotButton="0" quotePrefix="0" xfId="0">
      <alignment horizontal="center" vertical="center" wrapText="1"/>
    </xf>
    <xf numFmtId="0" fontId="50" fillId="0" borderId="0" applyAlignment="1" pivotButton="0" quotePrefix="0" xfId="0">
      <alignment horizontal="general" vertical="center"/>
    </xf>
    <xf numFmtId="0" fontId="32" fillId="3" borderId="0" applyAlignment="1" pivotButton="0" quotePrefix="0" xfId="0">
      <alignment horizontal="general" vertical="center"/>
    </xf>
    <xf numFmtId="0" fontId="50" fillId="0" borderId="0" applyAlignment="1" pivotButton="0" quotePrefix="0" xfId="0">
      <alignment horizontal="general" vertical="center"/>
    </xf>
    <xf numFmtId="0" fontId="13" fillId="4" borderId="0" applyAlignment="1" pivotButton="0" quotePrefix="0" xfId="0">
      <alignment horizontal="left" vertical="center"/>
    </xf>
    <xf numFmtId="0" fontId="17" fillId="3" borderId="2" applyAlignment="1" pivotButton="0" quotePrefix="0" xfId="0">
      <alignment horizontal="left" vertical="center"/>
    </xf>
    <xf numFmtId="49" fontId="26" fillId="3" borderId="6" applyAlignment="1" pivotButton="0" quotePrefix="0" xfId="0">
      <alignment horizontal="center" vertical="center" wrapText="1"/>
    </xf>
    <xf numFmtId="49" fontId="17" fillId="3" borderId="6" applyAlignment="1" pivotButton="0" quotePrefix="0" xfId="0">
      <alignment horizontal="center" vertical="center" wrapText="1"/>
    </xf>
    <xf numFmtId="0" fontId="8" fillId="0" borderId="0" applyAlignment="1" pivotButton="0" quotePrefix="0" xfId="0">
      <alignment horizontal="center" vertical="center" wrapText="1"/>
    </xf>
    <xf numFmtId="0" fontId="8" fillId="0" borderId="0" applyAlignment="1" pivotButton="0" quotePrefix="0" xfId="0">
      <alignment horizontal="center" vertical="bottom"/>
    </xf>
    <xf numFmtId="0" fontId="8" fillId="0" borderId="0" applyAlignment="1" pivotButton="0" quotePrefix="0" xfId="0">
      <alignment horizontal="left" vertical="bottom"/>
    </xf>
    <xf numFmtId="49" fontId="26" fillId="3" borderId="0" applyAlignment="1" pivotButton="0" quotePrefix="0" xfId="0">
      <alignment horizontal="center" vertical="center" wrapText="1"/>
    </xf>
    <xf numFmtId="49" fontId="17" fillId="3" borderId="0" applyAlignment="1" pivotButton="0" quotePrefix="0" xfId="0">
      <alignment horizontal="center" vertical="center" wrapText="1"/>
    </xf>
    <xf numFmtId="49" fontId="10" fillId="3" borderId="0" applyAlignment="1" pivotButton="0" quotePrefix="0" xfId="0">
      <alignment horizontal="center" vertical="center" wrapText="1"/>
    </xf>
    <xf numFmtId="0" fontId="10" fillId="3" borderId="0" applyAlignment="1" pivotButton="0" quotePrefix="0" xfId="0">
      <alignment horizontal="center" vertical="center" wrapText="1"/>
    </xf>
    <xf numFmtId="0" fontId="51" fillId="0" borderId="0" applyAlignment="1" pivotButton="0" quotePrefix="0" xfId="0">
      <alignment horizontal="general" vertical="bottom"/>
    </xf>
    <xf numFmtId="49" fontId="23" fillId="3" borderId="0" applyAlignment="1" pivotButton="0" quotePrefix="0" xfId="0">
      <alignment horizontal="center" vertical="center" wrapText="1"/>
    </xf>
    <xf numFmtId="0" fontId="50" fillId="0" borderId="0" applyAlignment="1" pivotButton="0" quotePrefix="0" xfId="0">
      <alignment horizontal="center" vertical="center" wrapText="1"/>
    </xf>
    <xf numFmtId="0" fontId="10" fillId="3" borderId="0" applyAlignment="1" pivotButton="0" quotePrefix="0" xfId="0">
      <alignment horizontal="left" vertical="center" wrapText="1"/>
    </xf>
    <xf numFmtId="49" fontId="10" fillId="3" borderId="0" applyAlignment="1" pivotButton="0" quotePrefix="0" xfId="0">
      <alignment horizontal="left" vertical="center" wrapText="1"/>
    </xf>
    <xf numFmtId="49" fontId="10" fillId="0" borderId="0" applyAlignment="1" pivotButton="0" quotePrefix="0" xfId="0">
      <alignment horizontal="left" vertical="center" wrapText="1"/>
    </xf>
    <xf numFmtId="166" fontId="13" fillId="0" borderId="0"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xf>
    <xf numFmtId="0" fontId="5" fillId="2" borderId="0" applyAlignment="1" pivotButton="0" quotePrefix="0" xfId="0">
      <alignment horizontal="general" vertical="center"/>
    </xf>
    <xf numFmtId="0" fontId="6" fillId="0" borderId="0" applyAlignment="1" pivotButton="0" quotePrefix="0" xfId="0">
      <alignment horizontal="general" vertical="center"/>
    </xf>
    <xf numFmtId="0" fontId="6" fillId="0" borderId="0" applyAlignment="1" pivotButton="0" quotePrefix="0" xfId="0">
      <alignment horizontal="general" vertical="center" wrapText="1"/>
    </xf>
    <xf numFmtId="0" fontId="7" fillId="0" borderId="0" applyAlignment="1" pivotButton="0" quotePrefix="0" xfId="0">
      <alignment horizontal="left" vertical="center"/>
    </xf>
    <xf numFmtId="0" fontId="8" fillId="0" borderId="0" applyAlignment="1" pivotButton="0" quotePrefix="0" xfId="0">
      <alignment horizontal="general" vertical="center"/>
    </xf>
    <xf numFmtId="0" fontId="9" fillId="2" borderId="0" applyAlignment="1" pivotButton="0" quotePrefix="0" xfId="0">
      <alignment horizontal="general" vertical="center"/>
    </xf>
    <xf numFmtId="0" fontId="10" fillId="2" borderId="0" applyAlignment="1" pivotButton="0" quotePrefix="0" xfId="0">
      <alignment horizontal="general" vertical="center"/>
    </xf>
    <xf numFmtId="0" fontId="6" fillId="0" borderId="0" applyAlignment="1" pivotButton="0" quotePrefix="0" xfId="0">
      <alignment horizontal="general" vertical="bottom" wrapText="1"/>
    </xf>
    <xf numFmtId="0" fontId="11" fillId="0" borderId="0" applyAlignment="1" pivotButton="0" quotePrefix="0" xfId="0">
      <alignment horizontal="general" vertical="center"/>
    </xf>
    <xf numFmtId="0" fontId="12" fillId="0" borderId="0" applyAlignment="1" pivotButton="0" quotePrefix="0" xfId="0">
      <alignment horizontal="general" vertical="center"/>
    </xf>
    <xf numFmtId="0" fontId="13" fillId="0" borderId="1" applyAlignment="1" pivotButton="0" quotePrefix="0" xfId="0">
      <alignment horizontal="center" vertical="center" wrapText="1"/>
    </xf>
    <xf numFmtId="0" fontId="13" fillId="0" borderId="0" applyAlignment="1" pivotButton="0" quotePrefix="0" xfId="0">
      <alignment horizontal="center" vertical="center" wrapText="1"/>
    </xf>
    <xf numFmtId="0" fontId="14" fillId="0" borderId="0" applyAlignment="1" pivotButton="0" quotePrefix="0" xfId="0">
      <alignment horizontal="general" vertical="center"/>
    </xf>
    <xf numFmtId="0" fontId="4" fillId="3" borderId="0" applyAlignment="1" pivotButton="0" quotePrefix="0" xfId="0">
      <alignment horizontal="general" vertical="center"/>
    </xf>
    <xf numFmtId="0" fontId="10" fillId="3" borderId="0" applyAlignment="1" pivotButton="0" quotePrefix="0" xfId="0">
      <alignment horizontal="general" vertical="center"/>
    </xf>
    <xf numFmtId="0" fontId="15" fillId="0" borderId="0" applyAlignment="1" pivotButton="0" quotePrefix="0" xfId="0">
      <alignment horizontal="center" vertical="center" wrapText="1"/>
    </xf>
    <xf numFmtId="0" fontId="16" fillId="0" borderId="0" applyAlignment="1" pivotButton="0" quotePrefix="0" xfId="0">
      <alignment horizontal="general" vertical="center"/>
    </xf>
    <xf numFmtId="0" fontId="17" fillId="3" borderId="0" applyAlignment="1" pivotButton="0" quotePrefix="0" xfId="0">
      <alignment horizontal="center" vertical="center"/>
    </xf>
    <xf numFmtId="0" fontId="17" fillId="0" borderId="0" applyAlignment="1" pivotButton="0" quotePrefix="0" xfId="0">
      <alignment horizontal="center" vertical="center"/>
    </xf>
    <xf numFmtId="0" fontId="18" fillId="0" borderId="0" applyAlignment="1" pivotButton="0" quotePrefix="0" xfId="0">
      <alignment horizontal="general" vertical="center"/>
    </xf>
    <xf numFmtId="0" fontId="17" fillId="3" borderId="0" applyAlignment="1" pivotButton="0" quotePrefix="0" xfId="0">
      <alignment horizontal="left" vertical="center" wrapText="1"/>
    </xf>
    <xf numFmtId="49" fontId="8" fillId="0" borderId="0" applyAlignment="1" pivotButton="0" quotePrefix="0" xfId="0">
      <alignment horizontal="left" vertical="center" wrapText="1"/>
    </xf>
    <xf numFmtId="49" fontId="19" fillId="0" borderId="0" applyAlignment="1" pivotButton="0" quotePrefix="0" xfId="0">
      <alignment horizontal="left" vertical="center"/>
    </xf>
    <xf numFmtId="3" fontId="8" fillId="0" borderId="0" applyAlignment="1" pivotButton="0" quotePrefix="0" xfId="0">
      <alignment horizontal="left" vertical="center" wrapText="1"/>
    </xf>
    <xf numFmtId="3" fontId="8" fillId="0" borderId="0" applyAlignment="1" pivotButton="0" quotePrefix="0" xfId="0">
      <alignment horizontal="left" vertical="center"/>
    </xf>
    <xf numFmtId="0" fontId="8" fillId="0" borderId="0" applyAlignment="1" pivotButton="0" quotePrefix="0" xfId="0">
      <alignment horizontal="left" vertical="center"/>
    </xf>
    <xf numFmtId="0" fontId="20" fillId="0" borderId="0" applyAlignment="1" pivotButton="0" quotePrefix="0" xfId="0">
      <alignment horizontal="left" vertical="center"/>
    </xf>
    <xf numFmtId="0" fontId="21" fillId="4" borderId="0" applyAlignment="1" pivotButton="0" quotePrefix="0" xfId="0">
      <alignment horizontal="left" vertical="center"/>
    </xf>
    <xf numFmtId="0" fontId="21" fillId="0" borderId="0" applyAlignment="1" pivotButton="0" quotePrefix="0" xfId="0">
      <alignment horizontal="left" vertical="center"/>
    </xf>
    <xf numFmtId="0" fontId="8" fillId="0" borderId="0" applyAlignment="1" pivotButton="0" quotePrefix="0" xfId="0">
      <alignment horizontal="left" vertical="center" wrapText="1"/>
    </xf>
    <xf numFmtId="0" fontId="17" fillId="2" borderId="0" applyAlignment="1" pivotButton="0" quotePrefix="0" xfId="0">
      <alignment horizontal="left" vertical="center" wrapText="1"/>
    </xf>
    <xf numFmtId="0" fontId="17" fillId="0" borderId="0" applyAlignment="1" pivotButton="0" quotePrefix="0" xfId="0">
      <alignment horizontal="left" vertical="center" wrapText="1"/>
    </xf>
    <xf numFmtId="0" fontId="13" fillId="4" borderId="0" applyAlignment="1" pivotButton="0" quotePrefix="0" xfId="0">
      <alignment horizontal="center" vertical="center" wrapText="1"/>
    </xf>
    <xf numFmtId="0" fontId="5" fillId="3" borderId="0" applyAlignment="1" pivotButton="0" quotePrefix="0" xfId="0">
      <alignment horizontal="left" vertical="center"/>
    </xf>
    <xf numFmtId="0" fontId="10" fillId="3" borderId="0" applyAlignment="1" pivotButton="0" quotePrefix="0" xfId="0">
      <alignment horizontal="center" vertical="center"/>
    </xf>
    <xf numFmtId="0" fontId="22" fillId="3" borderId="0" applyAlignment="1" pivotButton="0" quotePrefix="0" xfId="0">
      <alignment horizontal="center" vertical="center"/>
    </xf>
    <xf numFmtId="0" fontId="23" fillId="3" borderId="0" applyAlignment="1" pivotButton="0" quotePrefix="0" xfId="0">
      <alignment horizontal="left" vertical="center"/>
    </xf>
    <xf numFmtId="0" fontId="10" fillId="3" borderId="0" applyAlignment="1" pivotButton="0" quotePrefix="0" xfId="0">
      <alignment horizontal="left" vertical="center"/>
    </xf>
    <xf numFmtId="0" fontId="17" fillId="3" borderId="2" applyAlignment="1" pivotButton="0" quotePrefix="0" xfId="0">
      <alignment horizontal="general" vertical="center"/>
    </xf>
    <xf numFmtId="0" fontId="0" fillId="0" borderId="11" pivotButton="0" quotePrefix="0" xfId="0"/>
    <xf numFmtId="0" fontId="0" fillId="0" borderId="3" pivotButton="0" quotePrefix="0" xfId="0"/>
    <xf numFmtId="0" fontId="24" fillId="3" borderId="2" applyAlignment="1" pivotButton="0" quotePrefix="0" xfId="0">
      <alignment horizontal="center" vertical="center" wrapText="1"/>
    </xf>
    <xf numFmtId="0" fontId="17" fillId="3" borderId="2" applyAlignment="1" pivotButton="0" quotePrefix="0" xfId="0">
      <alignment horizontal="center" vertical="center" wrapText="1"/>
    </xf>
    <xf numFmtId="49" fontId="17" fillId="3" borderId="2" applyAlignment="1" pivotButton="0" quotePrefix="0" xfId="0">
      <alignment horizontal="center" vertical="center" wrapText="1"/>
    </xf>
    <xf numFmtId="0" fontId="17" fillId="0" borderId="2" applyAlignment="1" pivotButton="0" quotePrefix="0" xfId="0">
      <alignment horizontal="center" vertical="center" wrapText="1"/>
    </xf>
    <xf numFmtId="0" fontId="8" fillId="0" borderId="0" applyAlignment="1" pivotButton="0" quotePrefix="0" xfId="0">
      <alignment horizontal="center" vertical="center"/>
    </xf>
    <xf numFmtId="49" fontId="8" fillId="0" borderId="0" applyAlignment="1" pivotButton="0" quotePrefix="0" xfId="0">
      <alignment horizontal="left" vertical="center"/>
    </xf>
    <xf numFmtId="0" fontId="8" fillId="5" borderId="0" applyAlignment="1" pivotButton="0" quotePrefix="0" xfId="0">
      <alignment horizontal="center" vertical="center"/>
    </xf>
    <xf numFmtId="0" fontId="8" fillId="5" borderId="0" applyAlignment="1" pivotButton="0" quotePrefix="0" xfId="0">
      <alignment horizontal="left" vertical="center"/>
    </xf>
    <xf numFmtId="49" fontId="8" fillId="5" borderId="0" applyAlignment="1" pivotButton="0" quotePrefix="0" xfId="0">
      <alignment horizontal="left" vertical="center"/>
    </xf>
    <xf numFmtId="0" fontId="8" fillId="5" borderId="0" applyAlignment="1" pivotButton="0" quotePrefix="0" xfId="0">
      <alignment horizontal="general" vertical="center"/>
    </xf>
    <xf numFmtId="0" fontId="5" fillId="3" borderId="0" applyAlignment="1" pivotButton="0" quotePrefix="0" xfId="0">
      <alignment horizontal="general" vertical="center"/>
    </xf>
    <xf numFmtId="0" fontId="8" fillId="5" borderId="0" applyAlignment="1" pivotButton="0" quotePrefix="0" xfId="0">
      <alignment horizontal="general" vertical="center" wrapText="1"/>
    </xf>
    <xf numFmtId="0" fontId="8" fillId="0" borderId="0" applyAlignment="1" pivotButton="0" quotePrefix="0" xfId="0">
      <alignment horizontal="general" vertical="center" wrapText="1"/>
    </xf>
    <xf numFmtId="2" fontId="13" fillId="0" borderId="0" applyAlignment="1" pivotButton="0" quotePrefix="0" xfId="0">
      <alignment horizontal="center" vertical="center" wrapText="1"/>
    </xf>
    <xf numFmtId="0" fontId="17" fillId="3" borderId="0" applyAlignment="1" pivotButton="0" quotePrefix="0" xfId="0">
      <alignment horizontal="general" vertical="center" wrapText="1"/>
    </xf>
    <xf numFmtId="2" fontId="17" fillId="3" borderId="2" applyAlignment="1" pivotButton="0" quotePrefix="0" xfId="0">
      <alignment horizontal="center" vertical="center" wrapText="1"/>
    </xf>
    <xf numFmtId="0" fontId="17" fillId="0" borderId="0" applyAlignment="1" pivotButton="0" quotePrefix="0" xfId="0">
      <alignment horizontal="center" vertical="center" wrapText="1"/>
    </xf>
    <xf numFmtId="49" fontId="13" fillId="4" borderId="0" applyAlignment="1" pivotButton="0" quotePrefix="0" xfId="0">
      <alignment horizontal="center" vertical="center" wrapText="1"/>
    </xf>
    <xf numFmtId="0" fontId="25" fillId="3" borderId="0" applyAlignment="1" pivotButton="0" quotePrefix="0" xfId="0">
      <alignment horizontal="center" vertical="center"/>
    </xf>
    <xf numFmtId="0" fontId="26" fillId="3" borderId="0" applyAlignment="1" pivotButton="0" quotePrefix="0" xfId="0">
      <alignment horizontal="center" vertical="center"/>
    </xf>
    <xf numFmtId="0" fontId="17" fillId="3" borderId="0" applyAlignment="1" pivotButton="0" quotePrefix="0" xfId="0">
      <alignment horizontal="right" vertical="center"/>
    </xf>
    <xf numFmtId="0" fontId="26" fillId="3" borderId="2" applyAlignment="1" pivotButton="0" quotePrefix="0" xfId="0">
      <alignment horizontal="center" vertical="center"/>
    </xf>
    <xf numFmtId="0" fontId="27" fillId="0" borderId="0" applyAlignment="1" pivotButton="0" quotePrefix="0" xfId="0">
      <alignment horizontal="center" vertical="center" wrapText="1"/>
    </xf>
    <xf numFmtId="0" fontId="17" fillId="3" borderId="2" applyAlignment="1" pivotButton="0" quotePrefix="0" xfId="0">
      <alignment horizontal="center" vertical="center"/>
    </xf>
    <xf numFmtId="0" fontId="23" fillId="3" borderId="0" applyAlignment="1" pivotButton="0" quotePrefix="0" xfId="0">
      <alignment horizontal="center" vertical="center" wrapText="1"/>
    </xf>
    <xf numFmtId="0" fontId="23" fillId="0" borderId="0" applyAlignment="1" pivotButton="0" quotePrefix="0" xfId="0">
      <alignment horizontal="general" vertical="center" wrapText="1"/>
    </xf>
    <xf numFmtId="0" fontId="8" fillId="4" borderId="0" applyAlignment="1" pivotButton="0" quotePrefix="0" xfId="0">
      <alignment horizontal="left" vertical="center"/>
    </xf>
    <xf numFmtId="0" fontId="8" fillId="4" borderId="0" applyAlignment="1" pivotButton="0" quotePrefix="0" xfId="0">
      <alignment horizontal="center" vertical="center"/>
    </xf>
    <xf numFmtId="49" fontId="8" fillId="4" borderId="0" applyAlignment="1" pivotButton="0" quotePrefix="0" xfId="0">
      <alignment horizontal="right" vertical="center"/>
    </xf>
    <xf numFmtId="0" fontId="13" fillId="0" borderId="0" applyAlignment="1" pivotButton="0" quotePrefix="0" xfId="0">
      <alignment horizontal="left" vertical="center" wrapText="1"/>
    </xf>
    <xf numFmtId="49" fontId="13" fillId="0" borderId="0" applyAlignment="1" pivotButton="0" quotePrefix="0" xfId="0">
      <alignment horizontal="center" vertical="center" wrapText="1"/>
    </xf>
    <xf numFmtId="49" fontId="26" fillId="3" borderId="2" applyAlignment="1" pivotButton="0" quotePrefix="0" xfId="0">
      <alignment horizontal="center" vertical="center"/>
    </xf>
    <xf numFmtId="0" fontId="26" fillId="3" borderId="3" applyAlignment="1" pivotButton="0" quotePrefix="0" xfId="0">
      <alignment horizontal="center" vertical="center" wrapText="1"/>
    </xf>
    <xf numFmtId="0" fontId="15" fillId="0" borderId="0" applyAlignment="1" pivotButton="0" quotePrefix="0" xfId="0">
      <alignment horizontal="center" vertical="center"/>
    </xf>
    <xf numFmtId="0" fontId="26" fillId="3" borderId="2" applyAlignment="1" pivotButton="0" quotePrefix="0" xfId="0">
      <alignment horizontal="center" vertical="center" wrapText="1"/>
    </xf>
    <xf numFmtId="0" fontId="17" fillId="3" borderId="4" applyAlignment="1" pivotButton="0" quotePrefix="0" xfId="0">
      <alignment horizontal="center" vertical="center"/>
    </xf>
    <xf numFmtId="0" fontId="28" fillId="0" borderId="0" applyAlignment="1" pivotButton="0" quotePrefix="0" xfId="0">
      <alignment horizontal="center" vertical="center"/>
    </xf>
    <xf numFmtId="49" fontId="8" fillId="0" borderId="0" applyAlignment="1" pivotButton="0" quotePrefix="0" xfId="0">
      <alignment horizontal="general" vertical="center"/>
    </xf>
    <xf numFmtId="49" fontId="8" fillId="4" borderId="0" applyAlignment="1" pivotButton="0" quotePrefix="0" xfId="0">
      <alignment horizontal="center" vertical="center"/>
    </xf>
    <xf numFmtId="0" fontId="8" fillId="0" borderId="5" applyAlignment="1" pivotButton="0" quotePrefix="0" xfId="0">
      <alignment horizontal="general" vertical="center"/>
    </xf>
    <xf numFmtId="0" fontId="15" fillId="4" borderId="0" applyAlignment="1" pivotButton="0" quotePrefix="0" xfId="0">
      <alignment horizontal="center" vertical="center" wrapText="1"/>
    </xf>
    <xf numFmtId="0" fontId="29" fillId="3" borderId="0" applyAlignment="1" pivotButton="0" quotePrefix="0" xfId="0">
      <alignment horizontal="left" vertical="center"/>
    </xf>
    <xf numFmtId="0" fontId="30" fillId="4" borderId="0" applyAlignment="1" pivotButton="0" quotePrefix="0" xfId="0">
      <alignment horizontal="center" vertical="center" wrapText="1"/>
    </xf>
    <xf numFmtId="0" fontId="17" fillId="3" borderId="0" applyAlignment="1" pivotButton="0" quotePrefix="0" xfId="0">
      <alignment horizontal="center" vertical="center" wrapText="1"/>
    </xf>
    <xf numFmtId="0" fontId="23" fillId="0" borderId="0" applyAlignment="1" pivotButton="0" quotePrefix="0" xfId="0">
      <alignment horizontal="general" vertical="center"/>
    </xf>
    <xf numFmtId="49" fontId="8" fillId="4" borderId="0" applyAlignment="1" pivotButton="0" quotePrefix="0" xfId="0">
      <alignment horizontal="general" vertical="center" wrapText="1"/>
    </xf>
    <xf numFmtId="49" fontId="8" fillId="4" borderId="0" applyAlignment="1" pivotButton="0" quotePrefix="0" xfId="0">
      <alignment horizontal="left" vertical="center" wrapText="1"/>
    </xf>
    <xf numFmtId="0" fontId="13" fillId="0" borderId="0" applyAlignment="1" pivotButton="0" quotePrefix="0" xfId="0">
      <alignment horizontal="center" vertical="center"/>
    </xf>
    <xf numFmtId="0" fontId="31" fillId="0" borderId="0" applyAlignment="1" pivotButton="0" quotePrefix="0" xfId="0">
      <alignment horizontal="center" vertical="center" wrapText="1"/>
    </xf>
    <xf numFmtId="49" fontId="8" fillId="5" borderId="0" applyAlignment="1" pivotButton="0" quotePrefix="0" xfId="0">
      <alignment horizontal="left" vertical="center" wrapText="1"/>
    </xf>
    <xf numFmtId="0" fontId="32" fillId="0" borderId="0" applyAlignment="1" pivotButton="0" quotePrefix="0" xfId="0">
      <alignment horizontal="general" vertical="center"/>
    </xf>
    <xf numFmtId="0" fontId="13" fillId="4" borderId="0" applyAlignment="1" pivotButton="0" quotePrefix="0" xfId="0">
      <alignment horizontal="left" vertical="center" wrapText="1"/>
    </xf>
    <xf numFmtId="0" fontId="10" fillId="3" borderId="0" applyAlignment="1" pivotButton="0" quotePrefix="0" xfId="0">
      <alignment horizontal="general" vertical="center" wrapText="1"/>
    </xf>
    <xf numFmtId="0" fontId="23" fillId="3" borderId="0" applyAlignment="1" pivotButton="0" quotePrefix="0" xfId="0">
      <alignment horizontal="center" vertical="center"/>
    </xf>
    <xf numFmtId="0" fontId="23" fillId="3" borderId="2" applyAlignment="1" pivotButton="0" quotePrefix="0" xfId="0">
      <alignment horizontal="center" vertical="center" wrapText="1"/>
    </xf>
    <xf numFmtId="0" fontId="23" fillId="0" borderId="2" applyAlignment="1" pivotButton="0" quotePrefix="0" xfId="0">
      <alignment horizontal="general" vertical="center" wrapText="1"/>
    </xf>
    <xf numFmtId="49" fontId="8" fillId="4" borderId="0" applyAlignment="1" pivotButton="0" quotePrefix="0" xfId="0">
      <alignment horizontal="left" vertical="center"/>
    </xf>
    <xf numFmtId="0" fontId="8" fillId="4" borderId="0" applyAlignment="1" pivotButton="0" quotePrefix="0" xfId="0">
      <alignment horizontal="general" vertical="center"/>
    </xf>
    <xf numFmtId="49" fontId="8" fillId="4" borderId="0" applyAlignment="1" pivotButton="0" quotePrefix="0" xfId="0">
      <alignment horizontal="general" vertical="center"/>
    </xf>
    <xf numFmtId="0" fontId="26" fillId="3" borderId="0" applyAlignment="1" pivotButton="0" quotePrefix="0" xfId="0">
      <alignment horizontal="general" vertical="center"/>
    </xf>
    <xf numFmtId="0" fontId="17" fillId="0" borderId="0" applyAlignment="1" pivotButton="0" quotePrefix="0" xfId="0">
      <alignment horizontal="general" vertical="center" wrapText="1"/>
    </xf>
    <xf numFmtId="49" fontId="5" fillId="3" borderId="0" applyAlignment="1" pivotButton="0" quotePrefix="0" xfId="0">
      <alignment horizontal="general" vertical="center"/>
    </xf>
    <xf numFmtId="0" fontId="0" fillId="0" borderId="7" pivotButton="0" quotePrefix="0" xfId="0"/>
    <xf numFmtId="0" fontId="5" fillId="3" borderId="0" applyAlignment="1" pivotButton="0" quotePrefix="0" xfId="0">
      <alignment horizontal="center" vertical="center"/>
    </xf>
    <xf numFmtId="0" fontId="20" fillId="5" borderId="0" applyAlignment="1" pivotButton="0" quotePrefix="0" xfId="0">
      <alignment horizontal="left" vertical="center"/>
    </xf>
    <xf numFmtId="0" fontId="8" fillId="4" borderId="0" applyAlignment="1" pivotButton="0" quotePrefix="0" xfId="0">
      <alignment horizontal="left" vertical="center" wrapText="1"/>
    </xf>
    <xf numFmtId="0" fontId="8" fillId="4" borderId="0" applyAlignment="1" pivotButton="0" quotePrefix="0" xfId="0">
      <alignment horizontal="center" vertical="center" wrapText="1"/>
    </xf>
    <xf numFmtId="0" fontId="13" fillId="4" borderId="0" applyAlignment="1" pivotButton="0" quotePrefix="0" xfId="0">
      <alignment horizontal="center" vertical="center"/>
    </xf>
    <xf numFmtId="0" fontId="17" fillId="3" borderId="2" applyAlignment="1" pivotButton="0" quotePrefix="0" xfId="0">
      <alignment horizontal="right" vertical="center"/>
    </xf>
    <xf numFmtId="49" fontId="17" fillId="3" borderId="2" applyAlignment="1" pivotButton="0" quotePrefix="0" xfId="0">
      <alignment horizontal="right" vertical="center"/>
    </xf>
    <xf numFmtId="49" fontId="17" fillId="3" borderId="2" applyAlignment="1" pivotButton="0" quotePrefix="0" xfId="0">
      <alignment horizontal="center" vertical="center"/>
    </xf>
    <xf numFmtId="0" fontId="17" fillId="4" borderId="0" applyAlignment="1" pivotButton="0" quotePrefix="0" xfId="0">
      <alignment horizontal="center" vertical="center"/>
    </xf>
    <xf numFmtId="49" fontId="8" fillId="5" borderId="0" applyAlignment="1" pivotButton="0" quotePrefix="0" xfId="0">
      <alignment horizontal="right" vertical="center"/>
    </xf>
    <xf numFmtId="49" fontId="13" fillId="0" borderId="0" applyAlignment="1" pivotButton="0" quotePrefix="0" xfId="0">
      <alignment horizontal="right" vertical="center" wrapText="1"/>
    </xf>
    <xf numFmtId="0" fontId="13" fillId="4" borderId="0" applyAlignment="1" pivotButton="0" quotePrefix="0" xfId="0">
      <alignment horizontal="right" vertical="center" wrapText="1"/>
    </xf>
    <xf numFmtId="0" fontId="23" fillId="3" borderId="0" applyAlignment="1" pivotButton="0" quotePrefix="0" xfId="0">
      <alignment horizontal="general" vertical="center"/>
    </xf>
    <xf numFmtId="0" fontId="17" fillId="0" borderId="0" applyAlignment="1" pivotButton="0" quotePrefix="0" xfId="0">
      <alignment horizontal="center" vertical="bottom"/>
    </xf>
    <xf numFmtId="0" fontId="8" fillId="4" borderId="0" applyAlignment="1" pivotButton="0" quotePrefix="0" xfId="0">
      <alignment horizontal="center" vertical="bottom"/>
    </xf>
    <xf numFmtId="0" fontId="33" fillId="4" borderId="0" applyAlignment="1" pivotButton="0" quotePrefix="0" xfId="0">
      <alignment horizontal="general" vertical="center"/>
    </xf>
    <xf numFmtId="0" fontId="23" fillId="0" borderId="0" applyAlignment="1" pivotButton="0" quotePrefix="0" xfId="0">
      <alignment horizontal="center" vertical="center"/>
    </xf>
    <xf numFmtId="0" fontId="12" fillId="3" borderId="6" applyAlignment="1" pivotButton="0" quotePrefix="0" xfId="0">
      <alignment horizontal="center" vertical="center"/>
    </xf>
    <xf numFmtId="0" fontId="0" fillId="0" borderId="16" pivotButton="0" quotePrefix="0" xfId="0"/>
    <xf numFmtId="0" fontId="0" fillId="0" borderId="17" pivotButton="0" quotePrefix="0" xfId="0"/>
    <xf numFmtId="0" fontId="26" fillId="3" borderId="6" applyAlignment="1" pivotButton="0" quotePrefix="0" xfId="0">
      <alignment horizontal="center" vertical="center"/>
    </xf>
    <xf numFmtId="0" fontId="12" fillId="3" borderId="2" applyAlignment="1" pivotButton="0" quotePrefix="0" xfId="0">
      <alignment horizontal="center" vertical="center" wrapText="1"/>
    </xf>
    <xf numFmtId="0" fontId="12" fillId="3" borderId="7" applyAlignment="1" pivotButton="0" quotePrefix="0" xfId="0">
      <alignment horizontal="center" vertical="center" wrapText="1"/>
    </xf>
    <xf numFmtId="0" fontId="17" fillId="3" borderId="7" applyAlignment="1" pivotButton="0" quotePrefix="0" xfId="0">
      <alignment horizontal="center" vertical="center" wrapText="1"/>
    </xf>
    <xf numFmtId="0" fontId="23" fillId="0" borderId="0" applyAlignment="1" pivotButton="0" quotePrefix="0" xfId="0">
      <alignment horizontal="center" vertical="center" wrapText="1"/>
    </xf>
    <xf numFmtId="164" fontId="13" fillId="0" borderId="0" applyAlignment="1" pivotButton="0" quotePrefix="0" xfId="0">
      <alignment horizontal="center" vertical="center"/>
    </xf>
    <xf numFmtId="0" fontId="8" fillId="0" borderId="0" applyAlignment="1" pivotButton="0" quotePrefix="0" xfId="0">
      <alignment horizontal="center" vertical="bottom" wrapText="1"/>
    </xf>
    <xf numFmtId="0" fontId="32" fillId="6" borderId="0" applyAlignment="1" pivotButton="0" quotePrefix="0" xfId="0">
      <alignment horizontal="general" vertical="bottom"/>
    </xf>
    <xf numFmtId="0" fontId="32" fillId="0" borderId="0" applyAlignment="1" pivotButton="0" quotePrefix="0" xfId="0">
      <alignment horizontal="general" vertical="bottom"/>
    </xf>
    <xf numFmtId="0" fontId="5" fillId="3" borderId="0" applyAlignment="1" pivotButton="0" quotePrefix="0" xfId="0">
      <alignment horizontal="general" vertical="bottom"/>
    </xf>
    <xf numFmtId="0" fontId="32" fillId="3" borderId="0" applyAlignment="1" pivotButton="0" quotePrefix="0" xfId="0">
      <alignment horizontal="general" vertical="bottom"/>
    </xf>
    <xf numFmtId="0" fontId="17" fillId="3" borderId="0" applyAlignment="1" pivotButton="0" quotePrefix="0" xfId="0">
      <alignment horizontal="center" vertical="bottom" wrapText="1"/>
    </xf>
    <xf numFmtId="0" fontId="34" fillId="4" borderId="0" applyAlignment="1" pivotButton="0" quotePrefix="0" xfId="0">
      <alignment horizontal="center" vertical="center"/>
    </xf>
    <xf numFmtId="0" fontId="35" fillId="3" borderId="0" applyAlignment="1" pivotButton="0" quotePrefix="0" xfId="0">
      <alignment horizontal="general" vertical="center"/>
    </xf>
    <xf numFmtId="0" fontId="36" fillId="3" borderId="2" applyAlignment="1" pivotButton="0" quotePrefix="0" xfId="0">
      <alignment horizontal="center" vertical="center" wrapText="1"/>
    </xf>
    <xf numFmtId="0" fontId="37" fillId="3" borderId="0" applyAlignment="1" pivotButton="0" quotePrefix="0" xfId="0">
      <alignment horizontal="center" vertical="center" wrapText="1"/>
    </xf>
    <xf numFmtId="0" fontId="34" fillId="4" borderId="0" applyAlignment="1" pivotButton="0" quotePrefix="0" xfId="0">
      <alignment horizontal="left" vertical="center"/>
    </xf>
    <xf numFmtId="49" fontId="13" fillId="0" borderId="0" applyAlignment="1" pivotButton="0" quotePrefix="0" xfId="0">
      <alignment horizontal="left" vertical="center" wrapText="1"/>
    </xf>
    <xf numFmtId="49" fontId="10" fillId="3" borderId="0" applyAlignment="1" pivotButton="0" quotePrefix="0" xfId="0">
      <alignment horizontal="left" vertical="center" wrapText="1"/>
    </xf>
    <xf numFmtId="0" fontId="17" fillId="3" borderId="0" applyAlignment="1" pivotButton="0" quotePrefix="0" xfId="0">
      <alignment horizontal="left" vertical="center"/>
    </xf>
    <xf numFmtId="0" fontId="38" fillId="3" borderId="2" applyAlignment="1" pivotButton="0" quotePrefix="0" xfId="0">
      <alignment horizontal="center" vertical="center" wrapText="1"/>
    </xf>
    <xf numFmtId="49" fontId="13" fillId="0" borderId="0" applyAlignment="1" pivotButton="0" quotePrefix="0" xfId="0">
      <alignment horizontal="center" vertical="center"/>
    </xf>
    <xf numFmtId="0" fontId="13" fillId="0" borderId="0" applyAlignment="1" pivotButton="0" quotePrefix="0" xfId="0">
      <alignment horizontal="left" vertical="center"/>
    </xf>
    <xf numFmtId="0" fontId="39" fillId="3" borderId="0" applyAlignment="1" pivotButton="0" quotePrefix="0" xfId="0">
      <alignment horizontal="left" vertical="center"/>
    </xf>
    <xf numFmtId="49" fontId="34" fillId="0" borderId="0" applyAlignment="1" pivotButton="0" quotePrefix="0" xfId="0">
      <alignment horizontal="center" vertical="center" wrapText="1"/>
    </xf>
    <xf numFmtId="49" fontId="40" fillId="0" borderId="0" applyAlignment="1" pivotButton="0" quotePrefix="0" xfId="0">
      <alignment horizontal="center" vertical="center"/>
    </xf>
    <xf numFmtId="49" fontId="34" fillId="0" borderId="0" applyAlignment="1" pivotButton="0" quotePrefix="0" xfId="0">
      <alignment horizontal="center" vertical="center"/>
    </xf>
    <xf numFmtId="49" fontId="34" fillId="4" borderId="0" applyAlignment="1" pivotButton="0" quotePrefix="0" xfId="0">
      <alignment horizontal="center" vertical="center" wrapText="1"/>
    </xf>
    <xf numFmtId="49" fontId="34" fillId="4" borderId="0" applyAlignment="1" pivotButton="0" quotePrefix="0" xfId="0">
      <alignment horizontal="left" vertical="center" wrapText="1"/>
    </xf>
    <xf numFmtId="3" fontId="34" fillId="4" borderId="0" applyAlignment="1" pivotButton="0" quotePrefix="0" xfId="0">
      <alignment horizontal="center" vertical="center" wrapText="1"/>
    </xf>
    <xf numFmtId="0" fontId="34" fillId="0" borderId="0" applyAlignment="1" pivotButton="0" quotePrefix="0" xfId="0">
      <alignment horizontal="center" vertical="center" wrapText="1"/>
    </xf>
    <xf numFmtId="0" fontId="34" fillId="0" borderId="0" applyAlignment="1" pivotButton="0" quotePrefix="0" xfId="0">
      <alignment horizontal="center" vertical="center" wrapText="1"/>
    </xf>
    <xf numFmtId="0" fontId="34" fillId="4" borderId="0" applyAlignment="1" pivotButton="0" quotePrefix="0" xfId="0">
      <alignment horizontal="center" vertical="center" wrapText="1"/>
    </xf>
    <xf numFmtId="0" fontId="34" fillId="4" borderId="0" applyAlignment="1" pivotButton="0" quotePrefix="0" xfId="0">
      <alignment horizontal="center" vertical="center" wrapText="1"/>
    </xf>
    <xf numFmtId="49" fontId="34" fillId="4" borderId="0" applyAlignment="1" pivotButton="0" quotePrefix="0" xfId="0">
      <alignment horizontal="left" vertical="center"/>
    </xf>
    <xf numFmtId="49" fontId="34" fillId="4" borderId="0" applyAlignment="1" pivotButton="0" quotePrefix="0" xfId="0">
      <alignment horizontal="center" vertical="center"/>
    </xf>
    <xf numFmtId="0" fontId="41" fillId="4" borderId="0" applyAlignment="1" pivotButton="0" quotePrefix="0" xfId="0">
      <alignment horizontal="center" vertical="center"/>
    </xf>
    <xf numFmtId="49" fontId="5" fillId="3" borderId="0" applyAlignment="1" pivotButton="0" quotePrefix="0" xfId="0">
      <alignment horizontal="left" vertical="center"/>
    </xf>
    <xf numFmtId="49" fontId="39" fillId="3" borderId="0" applyAlignment="1" pivotButton="0" quotePrefix="0" xfId="0">
      <alignment horizontal="center" vertical="center"/>
    </xf>
    <xf numFmtId="49" fontId="13" fillId="3" borderId="0" applyAlignment="1" pivotButton="0" quotePrefix="0" xfId="0">
      <alignment horizontal="left" vertical="center"/>
    </xf>
    <xf numFmtId="0" fontId="42" fillId="3" borderId="0" applyAlignment="1" pivotButton="0" quotePrefix="0" xfId="0">
      <alignment horizontal="center" vertical="center"/>
    </xf>
    <xf numFmtId="49" fontId="39" fillId="3" borderId="0" applyAlignment="1" pivotButton="0" quotePrefix="0" xfId="0">
      <alignment horizontal="left" vertical="center"/>
    </xf>
    <xf numFmtId="3" fontId="26" fillId="3" borderId="8" applyAlignment="1" pivotButton="0" quotePrefix="0" xfId="0">
      <alignment horizontal="center" vertical="center"/>
    </xf>
    <xf numFmtId="0" fontId="0" fillId="0" borderId="5" pivotButton="0" quotePrefix="0" xfId="0"/>
    <xf numFmtId="0" fontId="0" fillId="0" borderId="10" pivotButton="0" quotePrefix="0" xfId="0"/>
    <xf numFmtId="0" fontId="17" fillId="3" borderId="8" applyAlignment="1" pivotButton="0" quotePrefix="0" xfId="0">
      <alignment horizontal="center" vertical="center" wrapText="1"/>
    </xf>
    <xf numFmtId="0" fontId="18" fillId="3" borderId="8" applyAlignment="1" pivotButton="0" quotePrefix="0" xfId="0">
      <alignment horizontal="left" vertical="center"/>
    </xf>
    <xf numFmtId="0" fontId="15" fillId="4" borderId="0" applyAlignment="1" pivotButton="0" quotePrefix="0" xfId="0">
      <alignment horizontal="center" vertical="center"/>
    </xf>
    <xf numFmtId="49" fontId="24" fillId="3" borderId="2" applyAlignment="1" pivotButton="0" quotePrefix="0" xfId="0">
      <alignment horizontal="center" vertical="center" wrapText="1"/>
    </xf>
    <xf numFmtId="3" fontId="17" fillId="3"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4" borderId="0" applyAlignment="1" pivotButton="0" quotePrefix="0" xfId="0">
      <alignment horizontal="general" vertical="center"/>
    </xf>
    <xf numFmtId="49" fontId="6" fillId="7" borderId="0" applyAlignment="1" pivotButton="0" quotePrefix="0" xfId="0">
      <alignment horizontal="center" vertical="center"/>
    </xf>
    <xf numFmtId="0" fontId="6" fillId="7" borderId="0" applyAlignment="1" pivotButton="0" quotePrefix="0" xfId="0">
      <alignment horizontal="general" vertical="center"/>
    </xf>
    <xf numFmtId="49" fontId="6" fillId="7" borderId="0" applyAlignment="1" pivotButton="0" quotePrefix="0" xfId="0">
      <alignment horizontal="left" vertical="center"/>
    </xf>
    <xf numFmtId="0" fontId="6" fillId="7" borderId="0" applyAlignment="1" pivotButton="0" quotePrefix="0" xfId="0">
      <alignment horizontal="left" vertical="center"/>
    </xf>
    <xf numFmtId="49" fontId="6" fillId="7" borderId="0" applyAlignment="1" pivotButton="0" quotePrefix="0" xfId="0">
      <alignment horizontal="general" vertical="center"/>
    </xf>
    <xf numFmtId="0" fontId="6" fillId="7" borderId="0" applyAlignment="1" pivotButton="0" quotePrefix="0" xfId="0">
      <alignment horizontal="center" vertical="center"/>
    </xf>
    <xf numFmtId="3" fontId="6" fillId="7" borderId="0" applyAlignment="1" pivotButton="0" quotePrefix="0" xfId="0">
      <alignment horizontal="center" vertical="center"/>
    </xf>
    <xf numFmtId="0" fontId="6" fillId="7" borderId="0" applyAlignment="1" pivotButton="0" quotePrefix="0" xfId="0">
      <alignment horizontal="center" vertical="center"/>
    </xf>
    <xf numFmtId="0" fontId="43" fillId="7" borderId="0" applyAlignment="1" pivotButton="0" quotePrefix="0" xfId="0">
      <alignment horizontal="center" vertical="center"/>
    </xf>
    <xf numFmtId="0" fontId="43" fillId="7" borderId="0" applyAlignment="1" pivotButton="0" quotePrefix="0" xfId="0">
      <alignment horizontal="general" vertical="center"/>
    </xf>
    <xf numFmtId="0" fontId="44" fillId="7" borderId="0" applyAlignment="1" pivotButton="0" quotePrefix="0" xfId="0">
      <alignment horizontal="general" vertical="center"/>
    </xf>
    <xf numFmtId="49" fontId="8" fillId="7" borderId="0" applyAlignment="1" pivotButton="0" quotePrefix="0" xfId="0">
      <alignment horizontal="center" vertical="center"/>
    </xf>
    <xf numFmtId="49" fontId="8" fillId="7" borderId="0" applyAlignment="1" pivotButton="0" quotePrefix="0" xfId="0">
      <alignment horizontal="general" vertical="center"/>
    </xf>
    <xf numFmtId="0" fontId="8" fillId="7" borderId="0" applyAlignment="1" pivotButton="0" quotePrefix="0" xfId="0">
      <alignment horizontal="general" vertical="center"/>
    </xf>
    <xf numFmtId="49" fontId="8" fillId="7" borderId="0" applyAlignment="1" pivotButton="0" quotePrefix="0" xfId="0">
      <alignment horizontal="left" vertical="center"/>
    </xf>
    <xf numFmtId="0" fontId="8" fillId="7" borderId="0" applyAlignment="1" pivotButton="0" quotePrefix="0" xfId="0">
      <alignment horizontal="left" vertical="center"/>
    </xf>
    <xf numFmtId="0" fontId="8" fillId="7" borderId="0" applyAlignment="1" pivotButton="0" quotePrefix="0" xfId="0">
      <alignment horizontal="center" vertical="center"/>
    </xf>
    <xf numFmtId="3" fontId="8" fillId="7" borderId="0" applyAlignment="1" pivotButton="0" quotePrefix="0" xfId="0">
      <alignment horizontal="center" vertical="center"/>
    </xf>
    <xf numFmtId="0" fontId="8" fillId="7" borderId="0" applyAlignment="1" pivotButton="0" quotePrefix="0" xfId="0">
      <alignment horizontal="center" vertical="center"/>
    </xf>
    <xf numFmtId="0" fontId="38" fillId="7" borderId="0" applyAlignment="1" pivotButton="0" quotePrefix="0" xfId="0">
      <alignment horizontal="center" vertical="center"/>
    </xf>
    <xf numFmtId="0" fontId="38" fillId="7" borderId="0" applyAlignment="1" pivotButton="0" quotePrefix="0" xfId="0">
      <alignment horizontal="general" vertical="center"/>
    </xf>
    <xf numFmtId="0" fontId="45" fillId="7" borderId="0" applyAlignment="1" pivotButton="0" quotePrefix="0" xfId="0">
      <alignment horizontal="general" vertical="center"/>
    </xf>
    <xf numFmtId="49" fontId="8" fillId="8" borderId="0" applyAlignment="1" pivotButton="0" quotePrefix="0" xfId="0">
      <alignment horizontal="center" vertical="center"/>
    </xf>
    <xf numFmtId="0" fontId="8" fillId="8" borderId="0" applyAlignment="1" pivotButton="0" quotePrefix="0" xfId="0">
      <alignment horizontal="general" vertical="center"/>
    </xf>
    <xf numFmtId="0" fontId="8" fillId="8" borderId="0" applyAlignment="1" pivotButton="0" quotePrefix="0" xfId="0">
      <alignment horizontal="left" vertical="center"/>
    </xf>
    <xf numFmtId="0" fontId="8" fillId="8" borderId="0" applyAlignment="1" pivotButton="0" quotePrefix="0" xfId="0">
      <alignment horizontal="center" vertical="center"/>
    </xf>
    <xf numFmtId="49" fontId="8" fillId="8" borderId="0" applyAlignment="1" pivotButton="0" quotePrefix="0" xfId="0">
      <alignment horizontal="left" vertical="center"/>
    </xf>
    <xf numFmtId="0" fontId="8" fillId="8" borderId="0" applyAlignment="1" pivotButton="0" quotePrefix="0" xfId="0">
      <alignment horizontal="center" vertical="center"/>
    </xf>
    <xf numFmtId="0" fontId="38" fillId="8" borderId="0" applyAlignment="1" pivotButton="0" quotePrefix="0" xfId="0">
      <alignment horizontal="center" vertical="center"/>
    </xf>
    <xf numFmtId="0" fontId="38" fillId="8" borderId="0" applyAlignment="1" pivotButton="0" quotePrefix="0" xfId="0">
      <alignment horizontal="general" vertical="center"/>
    </xf>
    <xf numFmtId="0" fontId="45" fillId="8" borderId="0" applyAlignment="1" pivotButton="0" quotePrefix="0" xfId="0">
      <alignment horizontal="general" vertical="center"/>
    </xf>
    <xf numFmtId="49" fontId="8" fillId="8" borderId="0" applyAlignment="1" pivotButton="0" quotePrefix="0" xfId="0">
      <alignment horizontal="general" vertical="center"/>
    </xf>
    <xf numFmtId="49" fontId="8" fillId="9" borderId="0" applyAlignment="1" pivotButton="0" quotePrefix="0" xfId="0">
      <alignment horizontal="center" vertical="center"/>
    </xf>
    <xf numFmtId="49" fontId="8" fillId="9" borderId="0" applyAlignment="1" pivotButton="0" quotePrefix="0" xfId="0">
      <alignment horizontal="general" vertical="center"/>
    </xf>
    <xf numFmtId="0" fontId="8" fillId="9" borderId="0" applyAlignment="1" pivotButton="0" quotePrefix="0" xfId="0">
      <alignment horizontal="general" vertical="center"/>
    </xf>
    <xf numFmtId="49" fontId="8" fillId="9" borderId="0" applyAlignment="1" pivotButton="0" quotePrefix="0" xfId="0">
      <alignment horizontal="left" vertical="center"/>
    </xf>
    <xf numFmtId="0" fontId="8" fillId="9" borderId="0" applyAlignment="1" pivotButton="0" quotePrefix="0" xfId="0">
      <alignment horizontal="left" vertical="center"/>
    </xf>
    <xf numFmtId="0" fontId="8" fillId="9" borderId="0" applyAlignment="1" pivotButton="0" quotePrefix="0" xfId="0">
      <alignment horizontal="center" vertical="center"/>
    </xf>
    <xf numFmtId="3" fontId="8" fillId="9" borderId="0" applyAlignment="1" pivotButton="0" quotePrefix="0" xfId="0">
      <alignment horizontal="center" vertical="center"/>
    </xf>
    <xf numFmtId="0" fontId="8" fillId="9" borderId="0" applyAlignment="1" pivotButton="0" quotePrefix="0" xfId="0">
      <alignment horizontal="center" vertical="center"/>
    </xf>
    <xf numFmtId="0" fontId="38" fillId="9" borderId="0" applyAlignment="1" pivotButton="0" quotePrefix="0" xfId="0">
      <alignment horizontal="center" vertical="center"/>
    </xf>
    <xf numFmtId="0" fontId="38" fillId="9" borderId="0" applyAlignment="1" pivotButton="0" quotePrefix="0" xfId="0">
      <alignment horizontal="general" vertical="center"/>
    </xf>
    <xf numFmtId="0" fontId="45" fillId="9" borderId="0" applyAlignment="1" pivotButton="0" quotePrefix="0" xfId="0">
      <alignment horizontal="general" vertical="center"/>
    </xf>
    <xf numFmtId="3" fontId="8" fillId="4" borderId="0" applyAlignment="1" pivotButton="0" quotePrefix="0" xfId="0">
      <alignment horizontal="center" vertical="center"/>
    </xf>
    <xf numFmtId="0" fontId="8" fillId="4" borderId="0" applyAlignment="1" pivotButton="0" quotePrefix="0" xfId="0">
      <alignment horizontal="center" vertical="center"/>
    </xf>
    <xf numFmtId="0" fontId="38" fillId="4" borderId="0" applyAlignment="1" pivotButton="0" quotePrefix="0" xfId="0">
      <alignment horizontal="center" vertical="center"/>
    </xf>
    <xf numFmtId="0" fontId="38" fillId="4" borderId="0" applyAlignment="1" pivotButton="0" quotePrefix="0" xfId="0">
      <alignment horizontal="general" vertical="center"/>
    </xf>
    <xf numFmtId="0" fontId="45" fillId="4" borderId="0" applyAlignment="1" pivotButton="0" quotePrefix="0" xfId="0">
      <alignment horizontal="general" vertical="center"/>
    </xf>
    <xf numFmtId="0" fontId="35" fillId="0" borderId="0" applyAlignment="1" pivotButton="0" quotePrefix="0" xfId="0">
      <alignment horizontal="general" vertical="center"/>
    </xf>
    <xf numFmtId="49" fontId="23" fillId="3" borderId="2" applyAlignment="1" pivotButton="0" quotePrefix="0" xfId="0">
      <alignment horizontal="center" vertical="center"/>
    </xf>
    <xf numFmtId="0" fontId="23" fillId="3" borderId="2" applyAlignment="1" pivotButton="0" quotePrefix="0" xfId="0">
      <alignment horizontal="center" vertical="center"/>
    </xf>
    <xf numFmtId="0" fontId="46" fillId="0" borderId="0" applyAlignment="1" pivotButton="0" quotePrefix="0" xfId="0">
      <alignment horizontal="center" vertical="center" wrapText="1"/>
    </xf>
    <xf numFmtId="49" fontId="46" fillId="4" borderId="0" applyAlignment="1" pivotButton="0" quotePrefix="0" xfId="0">
      <alignment horizontal="center" vertical="center" wrapText="1"/>
    </xf>
    <xf numFmtId="0" fontId="10" fillId="3" borderId="2" applyAlignment="1" pivotButton="0" quotePrefix="0" xfId="0">
      <alignment horizontal="center" vertical="center"/>
    </xf>
    <xf numFmtId="49" fontId="10" fillId="3" borderId="0" applyAlignment="1" pivotButton="0" quotePrefix="0" xfId="0">
      <alignment horizontal="center" vertical="center"/>
    </xf>
    <xf numFmtId="49" fontId="47" fillId="3" borderId="0" applyAlignment="1" pivotButton="0" quotePrefix="0" xfId="0">
      <alignment horizontal="left" vertical="center"/>
    </xf>
    <xf numFmtId="0" fontId="48" fillId="3" borderId="3" applyAlignment="1" pivotButton="0" quotePrefix="0" xfId="0">
      <alignment horizontal="center" vertical="center"/>
    </xf>
    <xf numFmtId="49" fontId="10" fillId="3" borderId="9"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9" pivotButton="0" quotePrefix="0" xfId="0"/>
    <xf numFmtId="49" fontId="13" fillId="0" borderId="0" applyAlignment="1" pivotButton="0" quotePrefix="0" xfId="0">
      <alignment horizontal="left" vertical="center"/>
    </xf>
    <xf numFmtId="49" fontId="13" fillId="4" borderId="0" applyAlignment="1" pivotButton="0" quotePrefix="0" xfId="0">
      <alignment horizontal="left" vertical="center" wrapText="1"/>
    </xf>
    <xf numFmtId="0" fontId="13" fillId="0" borderId="0" applyAlignment="1" pivotButton="0" quotePrefix="0" xfId="0">
      <alignment horizontal="right" vertical="center" wrapText="1"/>
    </xf>
    <xf numFmtId="0" fontId="39" fillId="3" borderId="0" applyAlignment="1" pivotButton="0" quotePrefix="0" xfId="0">
      <alignment horizontal="left" vertical="center" wrapText="1"/>
    </xf>
    <xf numFmtId="0" fontId="39" fillId="3" borderId="0" applyAlignment="1" pivotButton="0" quotePrefix="0" xfId="0">
      <alignment horizontal="center" vertical="center"/>
    </xf>
    <xf numFmtId="0" fontId="10" fillId="3" borderId="0" applyAlignment="1" pivotButton="0" quotePrefix="0" xfId="0">
      <alignment horizontal="right" vertical="center"/>
    </xf>
    <xf numFmtId="49" fontId="8" fillId="0" borderId="0" applyAlignment="1" pivotButton="0" quotePrefix="0" xfId="0">
      <alignment horizontal="center" vertical="center"/>
    </xf>
    <xf numFmtId="49" fontId="8" fillId="0" borderId="0" applyAlignment="1" pivotButton="0" quotePrefix="0" xfId="0">
      <alignment horizontal="right" vertical="center"/>
    </xf>
    <xf numFmtId="0" fontId="8" fillId="0" borderId="0" applyAlignment="1" pivotButton="0" quotePrefix="0" xfId="0">
      <alignment horizontal="right" vertical="center"/>
    </xf>
    <xf numFmtId="49" fontId="8" fillId="0" borderId="0" applyAlignment="1" pivotButton="0" quotePrefix="0" xfId="0">
      <alignment horizontal="general" vertical="bottom"/>
    </xf>
    <xf numFmtId="49" fontId="8" fillId="10" borderId="0" applyAlignment="1" pivotButton="0" quotePrefix="0" xfId="0">
      <alignment horizontal="left" vertical="center"/>
    </xf>
    <xf numFmtId="0" fontId="8" fillId="10" borderId="0" applyAlignment="1" pivotButton="0" quotePrefix="0" xfId="0">
      <alignment horizontal="general" vertical="center"/>
    </xf>
    <xf numFmtId="0" fontId="8" fillId="10" borderId="0" applyAlignment="1" pivotButton="0" quotePrefix="0" xfId="0">
      <alignment horizontal="left" vertical="center"/>
    </xf>
    <xf numFmtId="0" fontId="8" fillId="10" borderId="0" applyAlignment="1" pivotButton="0" quotePrefix="0" xfId="0">
      <alignment horizontal="center" vertical="center"/>
    </xf>
    <xf numFmtId="0" fontId="26" fillId="3" borderId="0" applyAlignment="1" pivotButton="0" quotePrefix="0" xfId="0">
      <alignment horizontal="left" vertical="center"/>
    </xf>
    <xf numFmtId="0" fontId="49" fillId="3" borderId="0" applyAlignment="1" pivotButton="0" quotePrefix="0" xfId="0">
      <alignment horizontal="center" vertical="center" wrapText="1"/>
    </xf>
    <xf numFmtId="49" fontId="26" fillId="3" borderId="0" applyAlignment="1" pivotButton="0" quotePrefix="0" xfId="0">
      <alignment horizontal="left" vertical="center"/>
    </xf>
    <xf numFmtId="165" fontId="8" fillId="0" borderId="0" applyAlignment="1" pivotButton="0" quotePrefix="0" xfId="0">
      <alignment horizontal="center" vertical="center"/>
    </xf>
    <xf numFmtId="2" fontId="13" fillId="4" borderId="0" applyAlignment="1" pivotButton="0" quotePrefix="0" xfId="0">
      <alignment horizontal="center" vertical="center" wrapText="1"/>
    </xf>
    <xf numFmtId="2" fontId="23" fillId="3" borderId="0" applyAlignment="1" pivotButton="0" quotePrefix="0" xfId="0">
      <alignment horizontal="left" vertical="center"/>
    </xf>
    <xf numFmtId="2" fontId="8" fillId="0" borderId="0" applyAlignment="1" pivotButton="0" quotePrefix="0" xfId="0">
      <alignment horizontal="center" vertical="center"/>
    </xf>
    <xf numFmtId="2" fontId="8" fillId="0" borderId="5" applyAlignment="1" pivotButton="0" quotePrefix="0" xfId="0">
      <alignment horizontal="center" vertical="center"/>
    </xf>
    <xf numFmtId="0" fontId="8" fillId="11" borderId="0" applyAlignment="1" pivotButton="0" quotePrefix="0" xfId="0">
      <alignment horizontal="left" vertical="center"/>
    </xf>
    <xf numFmtId="0" fontId="8" fillId="11" borderId="0" applyAlignment="1" pivotButton="0" quotePrefix="0" xfId="0">
      <alignment horizontal="general" vertical="center"/>
    </xf>
    <xf numFmtId="0" fontId="8" fillId="11" borderId="0" applyAlignment="1" pivotButton="0" quotePrefix="0" xfId="0">
      <alignment horizontal="center" vertical="center"/>
    </xf>
    <xf numFmtId="0" fontId="8" fillId="0" borderId="0" applyAlignment="1" pivotButton="0" quotePrefix="0" xfId="0">
      <alignment horizontal="center" vertical="center" wrapText="1"/>
    </xf>
    <xf numFmtId="0" fontId="32" fillId="3" borderId="0" applyAlignment="1" pivotButton="0" quotePrefix="0" xfId="0">
      <alignment horizontal="general" vertical="center"/>
    </xf>
    <xf numFmtId="0" fontId="50" fillId="0" borderId="0" applyAlignment="1" pivotButton="0" quotePrefix="0" xfId="0">
      <alignment horizontal="general" vertical="center"/>
    </xf>
    <xf numFmtId="0" fontId="13" fillId="4" borderId="0" applyAlignment="1" pivotButton="0" quotePrefix="0" xfId="0">
      <alignment horizontal="left" vertical="center"/>
    </xf>
    <xf numFmtId="0" fontId="17" fillId="3" borderId="2" applyAlignment="1" pivotButton="0" quotePrefix="0" xfId="0">
      <alignment horizontal="left" vertical="center"/>
    </xf>
    <xf numFmtId="49" fontId="26" fillId="3" borderId="6" applyAlignment="1" pivotButton="0" quotePrefix="0" xfId="0">
      <alignment horizontal="center" vertical="center" wrapText="1"/>
    </xf>
    <xf numFmtId="49" fontId="17" fillId="3" borderId="6" applyAlignment="1" pivotButton="0" quotePrefix="0" xfId="0">
      <alignment horizontal="center" vertical="center" wrapText="1"/>
    </xf>
    <xf numFmtId="0" fontId="0" fillId="0" borderId="22" pivotButton="0" quotePrefix="0" xfId="0"/>
    <xf numFmtId="0" fontId="8" fillId="0" borderId="0" applyAlignment="1" pivotButton="0" quotePrefix="0" xfId="0">
      <alignment horizontal="center" vertical="bottom"/>
    </xf>
    <xf numFmtId="0" fontId="8" fillId="0" borderId="0" applyAlignment="1" pivotButton="0" quotePrefix="0" xfId="0">
      <alignment horizontal="left" vertical="bottom"/>
    </xf>
    <xf numFmtId="49" fontId="26" fillId="3" borderId="0" applyAlignment="1" pivotButton="0" quotePrefix="0" xfId="0">
      <alignment horizontal="center" vertical="center" wrapText="1"/>
    </xf>
    <xf numFmtId="49" fontId="17" fillId="3" borderId="0" applyAlignment="1" pivotButton="0" quotePrefix="0" xfId="0">
      <alignment horizontal="center" vertical="center" wrapText="1"/>
    </xf>
    <xf numFmtId="49" fontId="10" fillId="3" borderId="0" applyAlignment="1" pivotButton="0" quotePrefix="0" xfId="0">
      <alignment horizontal="center" vertical="center" wrapText="1"/>
    </xf>
    <xf numFmtId="0" fontId="10" fillId="3" borderId="0" applyAlignment="1" pivotButton="0" quotePrefix="0" xfId="0">
      <alignment horizontal="center" vertical="center" wrapText="1"/>
    </xf>
    <xf numFmtId="0" fontId="51" fillId="0" borderId="0" applyAlignment="1" pivotButton="0" quotePrefix="0" xfId="0">
      <alignment horizontal="general" vertical="bottom"/>
    </xf>
    <xf numFmtId="49" fontId="23" fillId="3" borderId="0" applyAlignment="1" pivotButton="0" quotePrefix="0" xfId="0">
      <alignment horizontal="center" vertical="center" wrapText="1"/>
    </xf>
    <xf numFmtId="0" fontId="50" fillId="0" borderId="0" applyAlignment="1" pivotButton="0" quotePrefix="0" xfId="0">
      <alignment horizontal="center" vertical="center" wrapText="1"/>
    </xf>
    <xf numFmtId="0" fontId="10" fillId="3" borderId="0" applyAlignment="1" pivotButton="0" quotePrefix="0" xfId="0">
      <alignment horizontal="left" vertical="center" wrapText="1"/>
    </xf>
    <xf numFmtId="49" fontId="10" fillId="0" borderId="0" applyAlignment="1" pivotButton="0" quotePrefix="0" xfId="0">
      <alignment horizontal="left" vertical="center" wrapText="1"/>
    </xf>
    <xf numFmtId="166" fontId="13" fillId="0" borderId="0"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ont>
        <name val="Calibri"/>
        <charset val="1"/>
        <family val="0"/>
        <color rgb="FF000000"/>
        <sz val="11"/>
      </font>
      <fill>
        <patternFill>
          <bgColor rgb="FFFFFF00"/>
        </patternFill>
      </fill>
    </dxf>
    <dxf>
      <font>
        <name val="Calibri"/>
        <charset val="1"/>
        <family val="0"/>
        <color rgb="FF000000"/>
        <sz val="11"/>
      </font>
      <fill>
        <patternFill>
          <bgColor rgb="FFB7E1CD"/>
        </patternFill>
      </fill>
    </dxf>
    <dxf>
      <font>
        <name val="Calibri"/>
        <charset val="1"/>
        <family val="0"/>
        <color rgb="FF434343"/>
        <sz val="11"/>
      </font>
      <fill>
        <patternFill>
          <bgColor rgb="FFF9F96F"/>
        </patternFill>
      </fill>
    </dxf>
    <dxf>
      <font>
        <name val="Calibri"/>
        <charset val="1"/>
        <family val="0"/>
        <color rgb="FF434343"/>
        <sz val="11"/>
      </font>
      <fill>
        <patternFill>
          <bgColor rgb="FFFFFF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660099"/>
      <rgbColor rgb="FF008080"/>
      <rgbColor rgb="FFB7B7B7"/>
      <rgbColor rgb="FF808080"/>
      <rgbColor rgb="FF9999FF"/>
      <rgbColor rgb="FF993366"/>
      <rgbColor rgb="FFF9F9CC"/>
      <rgbColor rgb="FFCFE2F3"/>
      <rgbColor rgb="FF660066"/>
      <rgbColor rgb="FFFF8080"/>
      <rgbColor rgb="FF1155CC"/>
      <rgbColor rgb="FFCCCCCC"/>
      <rgbColor rgb="FF000080"/>
      <rgbColor rgb="FFFF00FF"/>
      <rgbColor rgb="FFFFFF00"/>
      <rgbColor rgb="FF00FFFF"/>
      <rgbColor rgb="FF800080"/>
      <rgbColor rgb="FF800000"/>
      <rgbColor rgb="FF008080"/>
      <rgbColor rgb="FF0000FF"/>
      <rgbColor rgb="FF00CCFF"/>
      <rgbColor rgb="FFEFEFEF"/>
      <rgbColor rgb="FFD9EAD3"/>
      <rgbColor rgb="FFF9F96F"/>
      <rgbColor rgb="FFB7E1CD"/>
      <rgbColor rgb="FFFF99CC"/>
      <rgbColor rgb="FFD9D9D9"/>
      <rgbColor rgb="FFF4CCCC"/>
      <rgbColor rgb="FF3D85C6"/>
      <rgbColor rgb="FF33CCCC"/>
      <rgbColor rgb="FF5DD727"/>
      <rgbColor rgb="FFFFCC00"/>
      <rgbColor rgb="FFFF9900"/>
      <rgbColor rgb="FFFF6600"/>
      <rgbColor rgb="FF666666"/>
      <rgbColor rgb="FF999999"/>
      <rgbColor rgb="FF0B5394"/>
      <rgbColor rgb="FF339966"/>
      <rgbColor rgb="FF003300"/>
      <rgbColor rgb="FF333300"/>
      <rgbColor rgb="FF993300"/>
      <rgbColor rgb="FF993366"/>
      <rgbColor rgb="FF333399"/>
      <rgbColor rgb="FF43434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styles" Target="styles.xml" Id="rId52" /><Relationship Type="http://schemas.openxmlformats.org/officeDocument/2006/relationships/theme" Target="theme/theme1.xml" Id="rId5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twoCell">
    <from>
      <col>0</col>
      <colOff>19080</colOff>
      <row>8</row>
      <rowOff>47520</rowOff>
    </from>
    <to>
      <col>2</col>
      <colOff>1166040</colOff>
      <row>8</row>
      <rowOff>255240</rowOff>
    </to>
    <pic>
      <nvPicPr>
        <cNvPr id="0" name="image1.png" descr=""/>
        <cNvPicPr/>
      </nvPicPr>
      <blipFill>
        <a:blip r:embed="rId1"/>
        <a:stretch>
          <a:fillRect/>
        </a:stretch>
      </blipFill>
      <spPr>
        <a:xfrm>
          <a:off x="19080" y="2619360"/>
          <a:ext cx="1904040" cy="207720"/>
        </a:xfrm>
        <a:prstGeom prst="rect">
          <avLst/>
        </a:prstGeom>
        <a:ln w="0">
          <a:noFill/>
          <a:prstDash val="solid"/>
        </a:ln>
      </spPr>
    </pic>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hyperlink" Target="http://www.yourlab.com/" TargetMode="External" Id="rId1" /><Relationship Type="http://schemas.openxmlformats.org/officeDocument/2006/relationships/hyperlink" Target="http://www.accbdy.com/" TargetMode="External" Id="rId2" /></Relationships>
</file>

<file path=xl/worksheets/sheet1.xml><?xml version="1.0" encoding="utf-8"?>
<worksheet xmlns="http://schemas.openxmlformats.org/spreadsheetml/2006/main">
  <sheetPr filterMode="0">
    <tabColor rgb="FF0000FF"/>
    <outlinePr summaryBelow="1" summaryRight="1"/>
    <pageSetUpPr fitToPage="0"/>
  </sheetPr>
  <dimension ref="A1:C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3.91" customWidth="1" style="289" min="1" max="1"/>
    <col width="5.55" customWidth="1" style="289" min="2" max="2"/>
    <col width="56.45" customWidth="1" style="289" min="3" max="3"/>
    <col width="12.72" customWidth="1" style="289" min="4" max="1024"/>
  </cols>
  <sheetData>
    <row r="1" ht="27.75" customHeight="1" s="290">
      <c r="A1" s="291" t="inlineStr">
        <is>
          <t>Instructions</t>
        </is>
      </c>
      <c r="B1" s="292" t="n"/>
      <c r="C1" s="292" t="n"/>
    </row>
    <row r="2" ht="29.25" customHeight="1" s="290">
      <c r="A2" s="293" t="n"/>
      <c r="B2" s="294" t="inlineStr">
        <is>
          <t xml:space="preserve">Tips and how to use these sheets are regularly updated online in the user manual at </t>
        </is>
      </c>
    </row>
    <row r="3" ht="18" customHeight="1" s="290">
      <c r="A3" s="293" t="n"/>
      <c r="B3" s="295">
        <f>HYPERLINK("https://www.bikalims.org/manual/setup-and-configuration/import-setup-data-from-spreadsheet","4.8 Configure Bika and Senaite with imported setup data")</f>
        <v/>
      </c>
    </row>
    <row r="4" ht="18" customHeight="1" s="290">
      <c r="A4" s="296" t="n"/>
      <c r="B4" s="293" t="inlineStr">
        <is>
          <t>All feedback appreciated</t>
        </is>
      </c>
      <c r="C4" s="296" t="n"/>
    </row>
    <row r="5" ht="24" customHeight="1" s="290">
      <c r="A5" s="297" t="inlineStr">
        <is>
          <t>Creative Commons</t>
        </is>
      </c>
      <c r="B5" s="298" t="n"/>
      <c r="C5" s="298" t="n"/>
    </row>
    <row r="6" ht="35.25" customHeight="1" s="290">
      <c r="A6" s="296" t="n"/>
      <c r="B6" s="294" t="inlineStr">
        <is>
          <t>These sheets are distributed and licensed by Bika Lab Systems on the Creative Commons BYSA, please use and redistribute.</t>
        </is>
      </c>
    </row>
    <row r="7" ht="30.75" customHeight="1" s="290">
      <c r="A7" s="299" t="inlineStr">
        <is>
          <t>Best Regards,
Team Bika</t>
        </is>
      </c>
      <c r="B7" s="299" t="n"/>
      <c r="C7" s="299" t="n"/>
    </row>
    <row r="8" ht="19.5" customHeight="1" s="290">
      <c r="A8" s="300">
        <f>HYPERLINK("mailto:info@bikalabs.com","info@bikalabs.com")</f>
        <v/>
      </c>
      <c r="B8" s="294" t="n"/>
      <c r="C8" s="294" t="n"/>
    </row>
    <row r="9" ht="26.25" customHeight="1" s="290">
      <c r="B9" s="294" t="n"/>
      <c r="C9" s="294" t="n"/>
    </row>
  </sheetData>
  <mergeCells count="3">
    <mergeCell ref="B6:C6"/>
    <mergeCell ref="B2:C2"/>
    <mergeCell ref="B3:C3"/>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tabColor rgb="FFFFFF00"/>
    <outlinePr summaryBelow="1" summaryRight="1"/>
    <pageSetUpPr fitToPage="0"/>
  </sheetPr>
  <dimension ref="A1:D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hidden="1" outlineLevel="1" width="23.44" customWidth="1" style="289" min="1" max="1"/>
    <col width="38.43" customWidth="1" style="289" min="2" max="2"/>
    <col width="33.26" customWidth="1" style="289" min="3" max="4"/>
    <col width="12.72" customWidth="1" style="289" min="5" max="1024"/>
  </cols>
  <sheetData>
    <row r="1" hidden="1" ht="23.25" customHeight="1" s="290">
      <c r="A1" s="301" t="inlineStr">
        <is>
          <t>Field</t>
        </is>
      </c>
      <c r="B1" s="302" t="inlineStr">
        <is>
          <t>Description</t>
        </is>
      </c>
      <c r="C1" s="302" t="inlineStr">
        <is>
          <t>Value</t>
        </is>
      </c>
      <c r="D1" s="303" t="n"/>
    </row>
    <row r="2" ht="37.5" customHeight="1" s="290">
      <c r="A2" s="304" t="n"/>
      <c r="B2" s="305" t="inlineStr">
        <is>
          <t>Lab Information</t>
        </is>
      </c>
      <c r="C2" s="306" t="n"/>
      <c r="D2" s="307">
        <f>HYPERLINK("https://www.bikalabs.com","Creative Commons BYSA
Bika Lab Systems")</f>
        <v/>
      </c>
    </row>
    <row r="3" ht="24" customHeight="1" s="290">
      <c r="A3" s="308" t="n"/>
      <c r="B3" s="309" t="inlineStr">
        <is>
          <t>Description</t>
        </is>
      </c>
      <c r="C3" s="309" t="n"/>
      <c r="D3" s="310" t="n"/>
    </row>
    <row r="4" ht="24" customHeight="1" s="290">
      <c r="A4" s="311" t="inlineStr">
        <is>
          <t>Name</t>
        </is>
      </c>
      <c r="B4" s="312" t="inlineStr">
        <is>
          <t>Name</t>
        </is>
      </c>
      <c r="C4" s="313" t="inlineStr">
        <is>
          <t>My Lab</t>
        </is>
      </c>
      <c r="D4" s="313" t="n"/>
    </row>
    <row r="5" ht="24" customHeight="1" s="290">
      <c r="A5" s="311" t="inlineStr">
        <is>
          <t>LabURL</t>
        </is>
      </c>
      <c r="B5" s="312" t="inlineStr">
        <is>
          <t>Lab web address</t>
        </is>
      </c>
      <c r="C5" s="314" t="inlineStr">
        <is>
          <t>www.mylab.com</t>
        </is>
      </c>
      <c r="D5" s="314" t="n"/>
    </row>
    <row r="6" ht="24" customHeight="1" s="290">
      <c r="A6" s="311" t="inlineStr">
        <is>
          <t>Confidence</t>
        </is>
      </c>
      <c r="B6" s="312" t="inlineStr">
        <is>
          <t>Confidence level %</t>
        </is>
      </c>
      <c r="C6" s="315" t="n">
        <v>95</v>
      </c>
      <c r="D6" s="315" t="n"/>
    </row>
    <row r="7" ht="24" customHeight="1" s="290">
      <c r="A7" s="311" t="inlineStr">
        <is>
          <t>LaboratoryAccredited</t>
        </is>
      </c>
      <c r="B7" s="312" t="inlineStr">
        <is>
          <t>Laboratory accredited ?</t>
        </is>
      </c>
      <c r="C7" s="316" t="n">
        <v>1</v>
      </c>
      <c r="D7" s="316" t="n"/>
    </row>
    <row r="8" ht="24" customHeight="1" s="290">
      <c r="A8" s="311" t="inlineStr">
        <is>
          <t>AccreditationBodyLong</t>
        </is>
      </c>
      <c r="B8" s="312" t="inlineStr">
        <is>
          <t>Accreditation body  title</t>
        </is>
      </c>
      <c r="C8" s="317" t="inlineStr">
        <is>
          <t>ACME Accreditation</t>
        </is>
      </c>
      <c r="D8" s="318" t="n"/>
    </row>
    <row r="9" ht="24" customHeight="1" s="290">
      <c r="A9" s="311" t="inlineStr">
        <is>
          <t>AccreditationBody</t>
        </is>
      </c>
      <c r="B9" s="312" t="inlineStr">
        <is>
          <t>Accreditation body abbreviation</t>
        </is>
      </c>
      <c r="C9" s="313" t="inlineStr">
        <is>
          <t>AccBdy Inc</t>
        </is>
      </c>
      <c r="D9" s="313" t="n"/>
    </row>
    <row r="10" ht="24" customHeight="1" s="290">
      <c r="A10" s="311" t="inlineStr">
        <is>
          <t>AccreditationBodyURL</t>
        </is>
      </c>
      <c r="B10" s="312" t="inlineStr">
        <is>
          <t>Accreditation body web address</t>
        </is>
      </c>
      <c r="C10" s="319" t="inlineStr">
        <is>
          <t>www.accbdy.com</t>
        </is>
      </c>
      <c r="D10" s="320" t="n"/>
    </row>
    <row r="11" ht="24" customHeight="1" s="290">
      <c r="A11" s="311" t="inlineStr">
        <is>
          <t>Accreditation</t>
        </is>
      </c>
      <c r="B11" s="312" t="inlineStr">
        <is>
          <t>Accreditation standard, e.g ISO 17025</t>
        </is>
      </c>
      <c r="C11" s="313" t="inlineStr">
        <is>
          <t>ISO 17025</t>
        </is>
      </c>
      <c r="D11" s="313" t="n"/>
    </row>
    <row r="12" ht="24" customHeight="1" s="290">
      <c r="A12" s="311" t="inlineStr">
        <is>
          <t>AccreditationReference</t>
        </is>
      </c>
      <c r="B12" s="312" t="inlineStr">
        <is>
          <t>Lab's accreditation reference number</t>
        </is>
      </c>
      <c r="C12" s="321" t="inlineStr">
        <is>
          <t>ACC 2020</t>
        </is>
      </c>
      <c r="D12" s="321" t="n"/>
    </row>
    <row r="13" ht="24" customHeight="1" s="290">
      <c r="A13" s="311" t="inlineStr">
        <is>
          <t>AccreditationBodyLogo</t>
        </is>
      </c>
      <c r="B13" s="312" t="inlineStr">
        <is>
          <t>Accreditation body logo</t>
        </is>
      </c>
      <c r="C13" s="321" t="n"/>
      <c r="D13" s="321" t="n"/>
    </row>
    <row r="14" ht="24" customHeight="1" s="290">
      <c r="A14" s="311" t="inlineStr">
        <is>
          <t>TaxNumber</t>
        </is>
      </c>
      <c r="B14" s="312" t="inlineStr">
        <is>
          <t>Tax number</t>
        </is>
      </c>
      <c r="C14" s="321" t="inlineStr">
        <is>
          <t>2005 378 576</t>
        </is>
      </c>
      <c r="D14" s="321" t="n"/>
    </row>
    <row r="15" ht="24" customHeight="1" s="290">
      <c r="A15" s="311" t="inlineStr">
        <is>
          <t>Phone</t>
        </is>
      </c>
      <c r="B15" s="312" t="inlineStr">
        <is>
          <t>Phone number</t>
        </is>
      </c>
      <c r="C15" s="321" t="inlineStr">
        <is>
          <t>+27 21 686 8990</t>
        </is>
      </c>
      <c r="D15" s="321" t="n"/>
    </row>
    <row r="16" ht="24" customHeight="1" s="290">
      <c r="A16" s="311" t="inlineStr">
        <is>
          <t>EmailAddress</t>
        </is>
      </c>
      <c r="B16" s="312" t="inlineStr">
        <is>
          <t>Email address</t>
        </is>
      </c>
      <c r="C16" s="321" t="inlineStr">
        <is>
          <t>lab@yourlab.com</t>
        </is>
      </c>
      <c r="D16" s="321" t="n"/>
    </row>
    <row r="17" ht="24" customHeight="1" s="290">
      <c r="A17" s="311" t="inlineStr">
        <is>
          <t>Physical_Address</t>
        </is>
      </c>
      <c r="B17" s="322" t="inlineStr">
        <is>
          <t>Physical address</t>
        </is>
      </c>
      <c r="C17" s="322" t="inlineStr">
        <is>
          <t>Main road 1</t>
        </is>
      </c>
      <c r="D17" s="323" t="n"/>
    </row>
    <row r="18" ht="24" customHeight="1" s="290">
      <c r="A18" s="311" t="inlineStr">
        <is>
          <t>Physical_City</t>
        </is>
      </c>
      <c r="B18" s="312" t="inlineStr">
        <is>
          <t>Physical address city</t>
        </is>
      </c>
      <c r="C18" s="321" t="inlineStr">
        <is>
          <t>Cape Town</t>
        </is>
      </c>
      <c r="D18" s="321" t="n"/>
    </row>
    <row r="19" ht="24" customHeight="1" s="290">
      <c r="A19" s="311" t="inlineStr">
        <is>
          <t>Physical_State</t>
        </is>
      </c>
      <c r="B19" s="312" t="inlineStr">
        <is>
          <t>Physical address state</t>
        </is>
      </c>
      <c r="C19" s="321" t="inlineStr">
        <is>
          <t>Western Cape</t>
        </is>
      </c>
      <c r="D19" s="321" t="n"/>
    </row>
    <row r="20" ht="24" customHeight="1" s="290">
      <c r="A20" s="311" t="inlineStr">
        <is>
          <t>Physical_Zip</t>
        </is>
      </c>
      <c r="B20" s="312" t="inlineStr">
        <is>
          <t>Physical address zip</t>
        </is>
      </c>
      <c r="C20" s="321" t="n">
        <v>8000</v>
      </c>
      <c r="D20" s="321" t="n"/>
    </row>
    <row r="21" ht="24" customHeight="1" s="290">
      <c r="A21" s="311" t="inlineStr">
        <is>
          <t>Physical_Country</t>
        </is>
      </c>
      <c r="B21" s="312" t="inlineStr">
        <is>
          <t>Physical address country</t>
        </is>
      </c>
      <c r="C21" s="321" t="inlineStr">
        <is>
          <t>South Africa</t>
        </is>
      </c>
      <c r="D21" s="321" t="n"/>
    </row>
    <row r="22" ht="24" customHeight="1" s="290">
      <c r="A22" s="311" t="inlineStr">
        <is>
          <t>Postal_Address</t>
        </is>
      </c>
      <c r="B22" s="322" t="inlineStr">
        <is>
          <t>Postal address</t>
        </is>
      </c>
      <c r="C22" s="322" t="inlineStr">
        <is>
          <t>Box 1</t>
        </is>
      </c>
      <c r="D22" s="323" t="n"/>
    </row>
    <row r="23" ht="24" customHeight="1" s="290">
      <c r="A23" s="311" t="inlineStr">
        <is>
          <t>Postal_City</t>
        </is>
      </c>
      <c r="B23" s="312" t="inlineStr">
        <is>
          <t>Postal address city</t>
        </is>
      </c>
      <c r="C23" s="321" t="inlineStr">
        <is>
          <t>Cape Town</t>
        </is>
      </c>
      <c r="D23" s="321" t="n"/>
    </row>
    <row r="24" ht="24" customHeight="1" s="290">
      <c r="A24" s="311" t="inlineStr">
        <is>
          <t>Postal_State</t>
        </is>
      </c>
      <c r="B24" s="312" t="inlineStr">
        <is>
          <t>Postal address state</t>
        </is>
      </c>
      <c r="C24" s="321" t="inlineStr">
        <is>
          <t>Western Cape</t>
        </is>
      </c>
      <c r="D24" s="321" t="n"/>
    </row>
    <row r="25" ht="24" customHeight="1" s="290">
      <c r="A25" s="311" t="inlineStr">
        <is>
          <t>Postal_Zip</t>
        </is>
      </c>
      <c r="B25" s="312" t="inlineStr">
        <is>
          <t>Postal address zip</t>
        </is>
      </c>
      <c r="C25" s="321" t="n">
        <v>8000</v>
      </c>
      <c r="D25" s="321" t="n"/>
    </row>
    <row r="26" ht="24" customHeight="1" s="290">
      <c r="A26" s="311" t="inlineStr">
        <is>
          <t>Postal_Country</t>
        </is>
      </c>
      <c r="B26" s="312" t="inlineStr">
        <is>
          <t>Postal address country</t>
        </is>
      </c>
      <c r="C26" s="321" t="inlineStr">
        <is>
          <t>South Africa</t>
        </is>
      </c>
      <c r="D26" s="321" t="n"/>
    </row>
    <row r="27" ht="24" customHeight="1" s="290">
      <c r="A27" s="322" t="inlineStr">
        <is>
          <t>Billing_Address</t>
        </is>
      </c>
      <c r="B27" s="322" t="inlineStr">
        <is>
          <t>Billing address</t>
        </is>
      </c>
      <c r="C27" s="322" t="inlineStr">
        <is>
          <t>Box 1</t>
        </is>
      </c>
      <c r="D27" s="321" t="n"/>
    </row>
    <row r="28" ht="24" customHeight="1" s="290">
      <c r="A28" s="311" t="inlineStr">
        <is>
          <t>Billing_City</t>
        </is>
      </c>
      <c r="B28" s="312" t="inlineStr">
        <is>
          <t>Billing address city</t>
        </is>
      </c>
      <c r="C28" s="321" t="inlineStr">
        <is>
          <t>Cape Town</t>
        </is>
      </c>
      <c r="D28" s="321" t="n"/>
    </row>
    <row r="29" ht="24" customHeight="1" s="290">
      <c r="A29" s="311" t="inlineStr">
        <is>
          <t>Billing_State</t>
        </is>
      </c>
      <c r="B29" s="312" t="inlineStr">
        <is>
          <t>Billing address state</t>
        </is>
      </c>
      <c r="C29" s="321" t="inlineStr">
        <is>
          <t>Western Cape</t>
        </is>
      </c>
      <c r="D29" s="321" t="n"/>
    </row>
    <row r="30" ht="24" customHeight="1" s="290">
      <c r="A30" s="311" t="inlineStr">
        <is>
          <t>Billing_Zip</t>
        </is>
      </c>
      <c r="B30" s="312" t="inlineStr">
        <is>
          <t>Billing address zip</t>
        </is>
      </c>
      <c r="C30" s="321" t="n">
        <v>8000</v>
      </c>
      <c r="D30" s="321" t="n"/>
    </row>
    <row r="31" ht="24" customHeight="1" s="290">
      <c r="A31" s="311" t="inlineStr">
        <is>
          <t>Billing_Country</t>
        </is>
      </c>
      <c r="B31" s="312" t="inlineStr">
        <is>
          <t>Billing address country</t>
        </is>
      </c>
      <c r="C31" s="321" t="inlineStr">
        <is>
          <t>South Africa</t>
        </is>
      </c>
      <c r="D31" s="321" t="n"/>
    </row>
  </sheetData>
  <conditionalFormatting sqref="B1:D1">
    <cfRule type="expression" rank="0" priority="2" equalAverage="0" aboveAverage="0" dxfId="0" text="" percent="0" bottom="0">
      <formula>LEN(TRIM(B1))=0</formula>
    </cfRule>
  </conditionalFormatting>
  <dataValidations count="3">
    <dataValidation sqref="C6" showDropDown="0" showInputMessage="1" showErrorMessage="1" allowBlank="1" prompt="Enter a % value - Between 0 and 100" type="decimal" errorStyle="stop" operator="between">
      <formula1>0</formula1>
      <formula2>100</formula2>
    </dataValidation>
    <dataValidation sqref="C7" showDropDown="0" showInputMessage="1" showErrorMessage="1" allowBlank="1" prompt="Click and enter a value from the list of items" type="list" errorStyle="stop" operator="equal">
      <formula1>"0,1"</formula1>
      <formula2>0</formula2>
    </dataValidation>
    <dataValidation sqref="C21 C26 C31" showDropDown="0" showInputMessage="0" showErrorMessage="0" allowBlank="1" type="list" errorStyle="stop" operator="equal">
      <formula1>'Countries, Currencies'!$B$3:$B31</formula1>
      <formula2>0</formula2>
    </dataValidation>
  </dataValidations>
  <hyperlinks>
    <hyperlink xmlns:r="http://schemas.openxmlformats.org/officeDocument/2006/relationships" ref="C5" display="www.mylab.com" r:id="rId1"/>
    <hyperlink xmlns:r="http://schemas.openxmlformats.org/officeDocument/2006/relationships" ref="C10" display="www.accbdy.com" r:id="rId2"/>
  </hyperlink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FF0000"/>
    <outlinePr summaryBelow="1" summaryRight="1"/>
    <pageSetUpPr fitToPage="1"/>
  </sheetPr>
  <dimension ref="A1:V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7.68" customWidth="1" style="289" min="1" max="1"/>
    <col width="11.47" customWidth="1" style="289" min="2" max="2"/>
    <col width="12.97" customWidth="1" style="289" min="3" max="3"/>
    <col outlineLevel="1" width="18.14" customWidth="1" style="289" min="4" max="4"/>
    <col outlineLevel="1" width="13.48" customWidth="1" style="289" min="5" max="7"/>
    <col outlineLevel="1" width="13.23" customWidth="1" style="289" min="8" max="8"/>
    <col width="15.24" customWidth="1" style="289" min="9" max="9"/>
    <col width="14.99" customWidth="1" style="289" min="10" max="10"/>
    <col width="12.22" customWidth="1" style="289" min="11" max="11"/>
    <col width="15.5" customWidth="1" style="289" min="12" max="12"/>
    <col hidden="1" outlineLevel="1" width="13.99" customWidth="1" style="289" min="13" max="16"/>
    <col width="14.49" customWidth="1" style="289" min="17" max="17"/>
    <col hidden="1" outlineLevel="1" width="13.99" customWidth="1" style="289" min="18" max="21"/>
    <col width="25.07" customWidth="1" style="289" min="22" max="22"/>
    <col width="12.72" customWidth="1" style="289" min="23" max="1024"/>
  </cols>
  <sheetData>
    <row r="1" hidden="1" ht="23.25" customHeight="1" s="290">
      <c r="A1" s="303" t="inlineStr">
        <is>
          <t>Salutation</t>
        </is>
      </c>
      <c r="B1" s="303" t="inlineStr">
        <is>
          <t>Firstname</t>
        </is>
      </c>
      <c r="C1" s="303" t="inlineStr">
        <is>
          <t>Surname</t>
        </is>
      </c>
      <c r="D1" s="303" t="inlineStr">
        <is>
          <t>EmailAddress</t>
        </is>
      </c>
      <c r="E1" s="303" t="inlineStr">
        <is>
          <t>BusinessPhone</t>
        </is>
      </c>
      <c r="F1" s="324" t="inlineStr">
        <is>
          <t>MobilePhone</t>
        </is>
      </c>
      <c r="G1" s="324" t="inlineStr">
        <is>
          <t>JobTitle</t>
        </is>
      </c>
      <c r="H1" s="303" t="inlineStr">
        <is>
          <t>Department_title</t>
        </is>
      </c>
      <c r="I1" s="303" t="inlineStr">
        <is>
          <t>Username</t>
        </is>
      </c>
      <c r="J1" s="303" t="inlineStr">
        <is>
          <t>Password</t>
        </is>
      </c>
      <c r="K1" s="303" t="inlineStr">
        <is>
          <t>Groups</t>
        </is>
      </c>
      <c r="L1" s="303" t="inlineStr">
        <is>
          <t>Physical_Address</t>
        </is>
      </c>
      <c r="M1" s="303" t="inlineStr">
        <is>
          <t>Physical_City</t>
        </is>
      </c>
      <c r="N1" s="303" t="inlineStr">
        <is>
          <t>Physical_State</t>
        </is>
      </c>
      <c r="O1" s="303" t="inlineStr">
        <is>
          <t>Physical_Zip</t>
        </is>
      </c>
      <c r="P1" s="303" t="inlineStr">
        <is>
          <t>Physical_Country</t>
        </is>
      </c>
      <c r="Q1" s="303" t="inlineStr">
        <is>
          <t>Postal_Address</t>
        </is>
      </c>
      <c r="R1" s="303" t="inlineStr">
        <is>
          <t>Postal_City</t>
        </is>
      </c>
      <c r="S1" s="303" t="inlineStr">
        <is>
          <t>Postal_State</t>
        </is>
      </c>
      <c r="T1" s="303" t="inlineStr">
        <is>
          <t>Postal_Zip</t>
        </is>
      </c>
      <c r="U1" s="303" t="inlineStr">
        <is>
          <t>Postal_Country</t>
        </is>
      </c>
      <c r="V1" s="303" t="n"/>
    </row>
    <row r="2" ht="37.5" customHeight="1" s="290">
      <c r="A2" s="325" t="inlineStr">
        <is>
          <t>Lab contacts - LIMS users</t>
        </is>
      </c>
      <c r="B2" s="326" t="n"/>
      <c r="C2" s="326" t="n"/>
      <c r="D2" s="326" t="n"/>
      <c r="E2" s="327" t="n"/>
      <c r="F2" s="326" t="n"/>
      <c r="G2" s="328" t="n"/>
      <c r="H2" s="329" t="n"/>
      <c r="I2" s="329" t="n"/>
      <c r="J2" s="329" t="n"/>
      <c r="K2" s="329" t="n"/>
      <c r="L2" s="330" t="inlineStr">
        <is>
          <t>Physical address</t>
        </is>
      </c>
      <c r="M2" s="331" t="n"/>
      <c r="N2" s="331" t="n"/>
      <c r="O2" s="331" t="n"/>
      <c r="P2" s="332" t="n"/>
      <c r="Q2" s="330" t="inlineStr">
        <is>
          <t>Postal address</t>
        </is>
      </c>
      <c r="R2" s="331" t="n"/>
      <c r="S2" s="331" t="n"/>
      <c r="T2" s="331" t="n"/>
      <c r="U2" s="332" t="n"/>
      <c r="V2" s="307">
        <f>HYPERLINK("https://www.bikalabs.com","Creative Commons BYSA
Bika Lab Systems")</f>
        <v/>
      </c>
    </row>
    <row r="3" ht="24" customHeight="1" s="290">
      <c r="A3" s="333" t="inlineStr">
        <is>
          <t>Salutation</t>
        </is>
      </c>
      <c r="B3" s="334" t="inlineStr">
        <is>
          <t xml:space="preserve"> ⭐ First name</t>
        </is>
      </c>
      <c r="C3" s="334" t="inlineStr">
        <is>
          <t xml:space="preserve"> ⭐ Surname</t>
        </is>
      </c>
      <c r="D3" s="334" t="inlineStr">
        <is>
          <t>Email address</t>
        </is>
      </c>
      <c r="E3" s="335" t="inlineStr">
        <is>
          <t>Business phone</t>
        </is>
      </c>
      <c r="F3" s="334" t="inlineStr">
        <is>
          <t>Mobile phone</t>
        </is>
      </c>
      <c r="G3" s="334" t="inlineStr">
        <is>
          <t>Job title</t>
        </is>
      </c>
      <c r="H3" s="334" t="inlineStr">
        <is>
          <t>Department</t>
        </is>
      </c>
      <c r="I3" s="334" t="inlineStr">
        <is>
          <t xml:space="preserve"> ⭐ User name</t>
        </is>
      </c>
      <c r="J3" s="334" t="inlineStr">
        <is>
          <t xml:space="preserve"> ⭐ Password</t>
        </is>
      </c>
      <c r="K3" s="334" t="inlineStr">
        <is>
          <t>⭐ Groups</t>
        </is>
      </c>
      <c r="L3" s="334" t="inlineStr">
        <is>
          <t>Building/Street</t>
        </is>
      </c>
      <c r="M3" s="334" t="inlineStr">
        <is>
          <t>City</t>
        </is>
      </c>
      <c r="N3" s="334" t="inlineStr">
        <is>
          <t>State</t>
        </is>
      </c>
      <c r="O3" s="334" t="inlineStr">
        <is>
          <t>Zip</t>
        </is>
      </c>
      <c r="P3" s="334" t="inlineStr">
        <is>
          <t>Country</t>
        </is>
      </c>
      <c r="Q3" s="334" t="inlineStr">
        <is>
          <t>Building/Street</t>
        </is>
      </c>
      <c r="R3" s="334" t="inlineStr">
        <is>
          <t>City</t>
        </is>
      </c>
      <c r="S3" s="334" t="inlineStr">
        <is>
          <t>State</t>
        </is>
      </c>
      <c r="T3" s="334" t="inlineStr">
        <is>
          <t>Zip</t>
        </is>
      </c>
      <c r="U3" s="334" t="inlineStr">
        <is>
          <t>Country</t>
        </is>
      </c>
      <c r="V3" s="336" t="n"/>
    </row>
    <row r="4" ht="21" customHeight="1" s="290">
      <c r="A4" s="337" t="inlineStr">
        <is>
          <t>Ms</t>
        </is>
      </c>
      <c r="B4" s="317" t="inlineStr">
        <is>
          <t>Adwoa</t>
        </is>
      </c>
      <c r="C4" s="317" t="inlineStr">
        <is>
          <t>Analyst</t>
        </is>
      </c>
      <c r="D4" s="317" t="inlineStr">
        <is>
          <t>adwoa@example.com</t>
        </is>
      </c>
      <c r="E4" s="338" t="n"/>
      <c r="F4" s="338" t="n"/>
      <c r="G4" s="317" t="n"/>
      <c r="H4" s="317" t="inlineStr">
        <is>
          <t>Chemistry</t>
        </is>
      </c>
      <c r="I4" s="317" t="inlineStr">
        <is>
          <t>adwoa</t>
        </is>
      </c>
      <c r="J4" s="317" t="inlineStr">
        <is>
          <t>adwoa22</t>
        </is>
      </c>
      <c r="K4" s="317" t="inlineStr">
        <is>
          <t>Analysts</t>
        </is>
      </c>
      <c r="L4" s="317" t="n"/>
      <c r="M4" s="296" t="n"/>
      <c r="N4" s="296" t="n"/>
      <c r="O4" s="296" t="n"/>
      <c r="P4" s="296" t="n"/>
      <c r="Q4" s="317" t="n"/>
      <c r="R4" s="296" t="n"/>
      <c r="S4" s="296" t="n"/>
      <c r="T4" s="296" t="n"/>
      <c r="U4" s="296" t="n"/>
      <c r="V4" s="296" t="n"/>
    </row>
    <row r="5" ht="21" customHeight="1" s="290">
      <c r="A5" s="337" t="inlineStr">
        <is>
          <t>Mr</t>
        </is>
      </c>
      <c r="B5" s="317" t="inlineStr">
        <is>
          <t>Andre</t>
        </is>
      </c>
      <c r="C5" s="317" t="inlineStr">
        <is>
          <t>Analyst</t>
        </is>
      </c>
      <c r="D5" s="317" t="inlineStr">
        <is>
          <t>andre@example.com</t>
        </is>
      </c>
      <c r="E5" s="338" t="n"/>
      <c r="F5" s="338" t="n"/>
      <c r="G5" s="317" t="n"/>
      <c r="H5" s="317" t="inlineStr">
        <is>
          <t>Chemistry</t>
        </is>
      </c>
      <c r="I5" s="317" t="inlineStr">
        <is>
          <t>andre</t>
        </is>
      </c>
      <c r="J5" s="317" t="inlineStr">
        <is>
          <t>andre22</t>
        </is>
      </c>
      <c r="K5" s="317" t="inlineStr">
        <is>
          <t>Analysts</t>
        </is>
      </c>
      <c r="L5" s="317" t="n"/>
      <c r="M5" s="296" t="n"/>
      <c r="N5" s="296" t="n"/>
      <c r="O5" s="296" t="n"/>
      <c r="P5" s="296" t="n"/>
      <c r="Q5" s="317" t="n"/>
      <c r="R5" s="296" t="n"/>
      <c r="S5" s="296" t="n"/>
      <c r="T5" s="296" t="n"/>
      <c r="U5" s="296" t="n"/>
      <c r="V5" s="296" t="n"/>
    </row>
    <row r="6" ht="21" customHeight="1" s="290">
      <c r="A6" s="337" t="inlineStr">
        <is>
          <t>Ms</t>
        </is>
      </c>
      <c r="B6" s="317" t="inlineStr">
        <is>
          <t>Anne</t>
        </is>
      </c>
      <c r="C6" s="317" t="inlineStr">
        <is>
          <t>Analyst</t>
        </is>
      </c>
      <c r="D6" s="317" t="inlineStr">
        <is>
          <t>anne@example.com</t>
        </is>
      </c>
      <c r="E6" s="338" t="n"/>
      <c r="F6" s="338" t="n"/>
      <c r="G6" s="317" t="n"/>
      <c r="H6" s="317" t="inlineStr">
        <is>
          <t>Microbiology</t>
        </is>
      </c>
      <c r="I6" s="317" t="inlineStr">
        <is>
          <t>anne</t>
        </is>
      </c>
      <c r="J6" s="317" t="inlineStr">
        <is>
          <t>anne22</t>
        </is>
      </c>
      <c r="K6" s="317" t="inlineStr">
        <is>
          <t>Analysts</t>
        </is>
      </c>
      <c r="L6" s="317" t="n"/>
      <c r="M6" s="296" t="n"/>
      <c r="N6" s="296" t="n"/>
      <c r="O6" s="296" t="n"/>
      <c r="P6" s="296" t="n"/>
      <c r="Q6" s="317" t="n"/>
      <c r="R6" s="296" t="n"/>
      <c r="S6" s="296" t="n"/>
      <c r="T6" s="296" t="n"/>
      <c r="U6" s="296" t="n"/>
      <c r="V6" s="296" t="n"/>
    </row>
    <row r="7" ht="21" customHeight="1" s="290">
      <c r="A7" s="337" t="inlineStr">
        <is>
          <t>Mr</t>
        </is>
      </c>
      <c r="B7" s="317" t="inlineStr">
        <is>
          <t>Client</t>
        </is>
      </c>
      <c r="C7" s="317" t="inlineStr">
        <is>
          <t>Sampler</t>
        </is>
      </c>
      <c r="D7" s="317" t="inlineStr">
        <is>
          <t>clientsam@example.com</t>
        </is>
      </c>
      <c r="E7" s="338" t="n"/>
      <c r="F7" s="317" t="n"/>
      <c r="G7" s="317" t="n"/>
      <c r="H7" s="317" t="inlineStr">
        <is>
          <t>Sampling</t>
        </is>
      </c>
      <c r="I7" s="317" t="inlineStr">
        <is>
          <t>client</t>
        </is>
      </c>
      <c r="J7" s="317">
        <f>CONCATENATE(I7,"22")</f>
        <v/>
      </c>
      <c r="K7" s="317" t="inlineStr">
        <is>
          <t>Samplers</t>
        </is>
      </c>
      <c r="L7" s="296" t="n"/>
      <c r="M7" s="296" t="n"/>
      <c r="N7" s="296" t="n"/>
      <c r="O7" s="296" t="n"/>
      <c r="P7" s="296" t="n"/>
      <c r="Q7" s="296" t="n"/>
      <c r="R7" s="296" t="n"/>
      <c r="S7" s="296" t="n"/>
      <c r="T7" s="296" t="n"/>
      <c r="U7" s="296" t="n"/>
      <c r="V7" s="296" t="n"/>
    </row>
    <row r="8" ht="21" customHeight="1" s="290">
      <c r="A8" s="337" t="inlineStr">
        <is>
          <t>Mr</t>
        </is>
      </c>
      <c r="B8" s="317" t="inlineStr">
        <is>
          <t>Len</t>
        </is>
      </c>
      <c r="C8" s="317" t="inlineStr">
        <is>
          <t>Labclerk</t>
        </is>
      </c>
      <c r="D8" s="317" t="inlineStr">
        <is>
          <t>len@example.com</t>
        </is>
      </c>
      <c r="E8" s="338" t="n"/>
      <c r="F8" s="338" t="n"/>
      <c r="G8" s="317" t="n"/>
      <c r="H8" s="317" t="inlineStr">
        <is>
          <t>Reception</t>
        </is>
      </c>
      <c r="I8" s="317" t="inlineStr">
        <is>
          <t>len</t>
        </is>
      </c>
      <c r="J8" s="317" t="inlineStr">
        <is>
          <t>len22</t>
        </is>
      </c>
      <c r="K8" s="317" t="inlineStr">
        <is>
          <t>LabClerks</t>
        </is>
      </c>
      <c r="L8" s="317" t="n"/>
      <c r="M8" s="296" t="n"/>
      <c r="N8" s="296" t="n"/>
      <c r="O8" s="296" t="n"/>
      <c r="P8" s="296" t="n"/>
      <c r="Q8" s="317" t="n"/>
      <c r="R8" s="296" t="n"/>
      <c r="S8" s="296" t="n"/>
      <c r="T8" s="296" t="n"/>
      <c r="U8" s="296" t="n"/>
      <c r="V8" s="296" t="n"/>
    </row>
    <row r="9" ht="21" customHeight="1" s="290">
      <c r="A9" s="337" t="inlineStr">
        <is>
          <t>Ms</t>
        </is>
      </c>
      <c r="B9" s="317" t="inlineStr">
        <is>
          <t>Lindiwe</t>
        </is>
      </c>
      <c r="C9" s="317" t="inlineStr">
        <is>
          <t>Labclerk</t>
        </is>
      </c>
      <c r="D9" s="317" t="inlineStr">
        <is>
          <t>lindiwe@example.com</t>
        </is>
      </c>
      <c r="E9" s="338" t="n"/>
      <c r="F9" s="317" t="n"/>
      <c r="G9" s="317" t="n"/>
      <c r="H9" s="317" t="inlineStr">
        <is>
          <t>Reception</t>
        </is>
      </c>
      <c r="I9" s="317" t="inlineStr">
        <is>
          <t>lindiwe</t>
        </is>
      </c>
      <c r="J9" s="317" t="inlineStr">
        <is>
          <t>lindiwe22</t>
        </is>
      </c>
      <c r="K9" s="317" t="inlineStr">
        <is>
          <t>LabClerks</t>
        </is>
      </c>
      <c r="L9" s="296" t="n"/>
      <c r="M9" s="296" t="n"/>
      <c r="N9" s="296" t="n"/>
      <c r="O9" s="296" t="n"/>
      <c r="P9" s="296" t="n"/>
      <c r="Q9" s="296" t="n"/>
      <c r="R9" s="296" t="n"/>
      <c r="S9" s="296" t="n"/>
      <c r="T9" s="296" t="n"/>
      <c r="U9" s="296" t="n"/>
      <c r="V9" s="296" t="n"/>
    </row>
    <row r="10" ht="21" customHeight="1" s="290">
      <c r="A10" s="337" t="inlineStr">
        <is>
          <t>Mr</t>
        </is>
      </c>
      <c r="B10" s="317" t="inlineStr">
        <is>
          <t>Mpasa</t>
        </is>
      </c>
      <c r="C10" s="317" t="inlineStr">
        <is>
          <t>Manager</t>
        </is>
      </c>
      <c r="D10" s="317" t="inlineStr">
        <is>
          <t>mpasa@example.com</t>
        </is>
      </c>
      <c r="E10" s="338" t="n"/>
      <c r="F10" s="338" t="n"/>
      <c r="G10" s="317" t="n"/>
      <c r="H10" s="317" t="inlineStr">
        <is>
          <t>Chemistry</t>
        </is>
      </c>
      <c r="I10" s="317" t="inlineStr">
        <is>
          <t>mpasa</t>
        </is>
      </c>
      <c r="J10" s="317" t="inlineStr">
        <is>
          <t>mpasa22</t>
        </is>
      </c>
      <c r="K10" s="317" t="inlineStr">
        <is>
          <t>LabManagers</t>
        </is>
      </c>
      <c r="L10" s="317" t="n"/>
      <c r="M10" s="296" t="n"/>
      <c r="N10" s="296" t="n"/>
      <c r="O10" s="296" t="n"/>
      <c r="P10" s="296" t="n"/>
      <c r="Q10" s="317" t="n"/>
      <c r="R10" s="296" t="n"/>
      <c r="S10" s="296" t="n"/>
      <c r="T10" s="296" t="n"/>
      <c r="U10" s="296" t="n"/>
      <c r="V10" s="296" t="n"/>
    </row>
    <row r="11" ht="21" customHeight="1" s="290">
      <c r="A11" s="339" t="inlineStr">
        <is>
          <t>Ms</t>
        </is>
      </c>
      <c r="B11" s="340" t="inlineStr">
        <is>
          <t>Ronda</t>
        </is>
      </c>
      <c r="C11" s="340" t="inlineStr">
        <is>
          <t>Rommelaer</t>
        </is>
      </c>
      <c r="D11" s="340" t="inlineStr">
        <is>
          <t>ronda@exampl.com</t>
        </is>
      </c>
      <c r="E11" s="341" t="n"/>
      <c r="F11" s="341" t="n"/>
      <c r="G11" s="340" t="n"/>
      <c r="H11" s="340" t="inlineStr">
        <is>
          <t>Chemistry</t>
        </is>
      </c>
      <c r="I11" s="340" t="inlineStr">
        <is>
          <t>ronda</t>
        </is>
      </c>
      <c r="J11" s="340" t="inlineStr">
        <is>
          <t>ronda0727</t>
        </is>
      </c>
      <c r="K11" s="340" t="inlineStr">
        <is>
          <t>LabManagers</t>
        </is>
      </c>
      <c r="L11" s="340" t="n"/>
      <c r="M11" s="342" t="n"/>
      <c r="N11" s="342" t="n"/>
      <c r="O11" s="342" t="n"/>
      <c r="P11" s="342" t="n"/>
      <c r="Q11" s="340" t="n"/>
      <c r="R11" s="296" t="n"/>
      <c r="S11" s="296" t="n"/>
      <c r="T11" s="296" t="n"/>
      <c r="U11" s="296" t="n"/>
      <c r="V11" s="296" t="n"/>
    </row>
    <row r="12" ht="21" customHeight="1" s="290">
      <c r="A12" s="337" t="inlineStr">
        <is>
          <t>Mr</t>
        </is>
      </c>
      <c r="B12" s="317" t="inlineStr">
        <is>
          <t>Sam</t>
        </is>
      </c>
      <c r="C12" s="317" t="inlineStr">
        <is>
          <t>Sampler</t>
        </is>
      </c>
      <c r="D12" s="317" t="inlineStr">
        <is>
          <t>sam@example.com</t>
        </is>
      </c>
      <c r="E12" s="338" t="n"/>
      <c r="F12" s="317" t="n"/>
      <c r="G12" s="317" t="n"/>
      <c r="H12" s="317" t="inlineStr">
        <is>
          <t>Sampling</t>
        </is>
      </c>
      <c r="I12" s="317" t="inlineStr">
        <is>
          <t>sam</t>
        </is>
      </c>
      <c r="J12" s="317">
        <f>CONCATENATE(I12,"22")</f>
        <v/>
      </c>
      <c r="K12" s="317" t="inlineStr">
        <is>
          <t>Samplers</t>
        </is>
      </c>
      <c r="L12" s="296" t="n"/>
      <c r="M12" s="296" t="n"/>
      <c r="N12" s="296" t="n"/>
      <c r="O12" s="296" t="n"/>
      <c r="P12" s="296" t="n"/>
      <c r="Q12" s="296" t="n"/>
      <c r="R12" s="296" t="n"/>
      <c r="S12" s="296" t="n"/>
      <c r="T12" s="296" t="n"/>
      <c r="U12" s="296" t="n"/>
      <c r="V12" s="296" t="n"/>
    </row>
    <row r="13" ht="21" customHeight="1" s="290">
      <c r="A13" s="337" t="inlineStr">
        <is>
          <t>Mr</t>
        </is>
      </c>
      <c r="B13" s="317" t="inlineStr">
        <is>
          <t>Sekuwe</t>
        </is>
      </c>
      <c r="C13" s="317" t="inlineStr">
        <is>
          <t>Sampler</t>
        </is>
      </c>
      <c r="D13" s="317" t="inlineStr">
        <is>
          <t>sekuwe@example.com</t>
        </is>
      </c>
      <c r="E13" s="338" t="n"/>
      <c r="F13" s="338" t="n"/>
      <c r="G13" s="317" t="n"/>
      <c r="H13" s="317" t="inlineStr">
        <is>
          <t>Sampling</t>
        </is>
      </c>
      <c r="I13" s="317" t="inlineStr">
        <is>
          <t>sekuwe</t>
        </is>
      </c>
      <c r="J13" s="317">
        <f>CONCATENATE(I13,"22")</f>
        <v/>
      </c>
      <c r="K13" s="317" t="inlineStr">
        <is>
          <t>Samplers</t>
        </is>
      </c>
      <c r="L13" s="296" t="n"/>
      <c r="M13" s="296" t="n"/>
      <c r="N13" s="296" t="n"/>
      <c r="O13" s="296" t="n"/>
      <c r="P13" s="296" t="n"/>
      <c r="Q13" s="296" t="n"/>
      <c r="R13" s="296" t="n"/>
      <c r="S13" s="296" t="n"/>
      <c r="T13" s="296" t="n"/>
      <c r="U13" s="296" t="n"/>
      <c r="V13" s="296" t="n"/>
    </row>
  </sheetData>
  <mergeCells count="2">
    <mergeCell ref="Q2:U2"/>
    <mergeCell ref="L2:P2"/>
  </mergeCells>
  <conditionalFormatting sqref="A1:V1">
    <cfRule type="expression" rank="0" priority="2" equalAverage="0" aboveAverage="0" dxfId="0" text="" percent="0" bottom="0">
      <formula>LEN(TRIM(A1))=0</formula>
    </cfRule>
  </conditionalFormatting>
  <conditionalFormatting sqref="K6">
    <cfRule type="expression" rank="0" priority="3" equalAverage="0" aboveAverage="0" dxfId="1" text="" percent="0" bottom="0">
      <formula>LEN(TRIM(K6))&gt;0</formula>
    </cfRule>
  </conditionalFormatting>
  <dataValidations count="4">
    <dataValidation sqref="A4:A13" showDropDown="0" showInputMessage="0" showErrorMessage="1" allowBlank="1" type="list" errorStyle="stop" operator="equal">
      <formula1>Constants!$A$14:$A$25</formula1>
      <formula2>0</formula2>
    </dataValidation>
    <dataValidation sqref="H4:H13" showDropDown="0" showInputMessage="0" showErrorMessage="1" allowBlank="1" type="list" errorStyle="stop" operator="equal">
      <formula1>'Lab Departments'!$A$4:$A13</formula1>
      <formula2>0</formula2>
    </dataValidation>
    <dataValidation sqref="K4:K13" showDropDown="0" showInputMessage="1" showErrorMessage="1" allowBlank="1" prompt="Click and enter a value from range Constants!A2:A15" type="list" errorStyle="stop" operator="equal">
      <formula1>Constants!$A$3:$A$11</formula1>
      <formula2>0</formula2>
    </dataValidation>
    <dataValidation sqref="P4:P13 U4:U13" showDropDown="0" showInputMessage="0" showErrorMessage="1" allowBlank="1" type="list" errorStyle="stop" operator="equal">
      <formula1>'Countries, Currencies'!$B$3:$B$251</formula1>
      <formula2>0</formula2>
    </dataValidation>
  </dataValidations>
  <printOptions horizontalCentered="1" verticalCentered="0" headings="0" gridLines="1" gridLinesSet="1"/>
  <pageMargins left="0.7" right="0.7" top="0.75" bottom="0.75" header="0.511811023622047" footer="0.511811023622047"/>
  <pageSetup orientation="landscape" paperSize="1" scale="100" fitToHeight="1" fitToWidth="1" pageOrder="overThenDown" blackAndWhite="0" draft="0" horizontalDpi="300" verticalDpi="300" copies="1"/>
</worksheet>
</file>

<file path=xl/worksheets/sheet4.xml><?xml version="1.0" encoding="utf-8"?>
<worksheet xmlns="http://schemas.openxmlformats.org/spreadsheetml/2006/main">
  <sheetPr filterMode="0">
    <tabColor rgb="FFFFFF00"/>
    <outlinePr summaryBelow="1" summaryRight="1"/>
    <pageSetUpPr fitToPage="0"/>
  </sheetPr>
  <dimension ref="A1:D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7.72" customWidth="1" style="289" min="1" max="1"/>
    <col width="40.56" customWidth="1" style="289" min="2" max="2"/>
    <col width="16.76" customWidth="1" style="289" min="3" max="3"/>
    <col width="19.66" customWidth="1" style="289" min="4" max="4"/>
    <col width="12.72" customWidth="1" style="289" min="5" max="1024"/>
  </cols>
  <sheetData>
    <row r="1" hidden="1" ht="22.5" customHeight="1" s="290">
      <c r="A1" s="303" t="inlineStr">
        <is>
          <t>title</t>
        </is>
      </c>
      <c r="B1" s="303" t="inlineStr">
        <is>
          <t>description</t>
        </is>
      </c>
      <c r="C1" s="303" t="inlineStr">
        <is>
          <t>LabContact_Username</t>
        </is>
      </c>
      <c r="D1" s="303" t="n"/>
    </row>
    <row r="2" ht="37.5" customHeight="1" s="290">
      <c r="A2" s="343" t="inlineStr">
        <is>
          <t>Lab Departments</t>
        </is>
      </c>
      <c r="B2" s="327" t="n"/>
      <c r="C2" s="326" t="n"/>
      <c r="D2" s="307">
        <f>HYPERLINK("https://www.bikalabs.com","Creative Commons BYSA
Bika Lab Systems")</f>
        <v/>
      </c>
    </row>
    <row r="3" ht="26.25" customHeight="1" s="290">
      <c r="A3" s="334" t="inlineStr">
        <is>
          <t>⭐ Title</t>
        </is>
      </c>
      <c r="B3" s="334" t="inlineStr">
        <is>
          <t>Description</t>
        </is>
      </c>
      <c r="C3" s="334" t="inlineStr">
        <is>
          <t>⭐ Manager</t>
        </is>
      </c>
      <c r="D3" s="311" t="n"/>
    </row>
    <row r="4" ht="21" customHeight="1" s="290">
      <c r="A4" s="342" t="inlineStr">
        <is>
          <t>Chemistry</t>
        </is>
      </c>
      <c r="B4" s="344" t="n"/>
      <c r="C4" s="339" t="inlineStr">
        <is>
          <t>ronda</t>
        </is>
      </c>
      <c r="D4" s="296" t="n"/>
    </row>
    <row r="5" ht="21" customHeight="1" s="290">
      <c r="A5" s="342" t="inlineStr">
        <is>
          <t>Microbiology</t>
        </is>
      </c>
      <c r="B5" s="344" t="n"/>
      <c r="C5" s="339" t="inlineStr">
        <is>
          <t>ronda</t>
        </is>
      </c>
      <c r="D5" s="296" t="n"/>
    </row>
    <row r="6" ht="21" customHeight="1" s="290">
      <c r="A6" s="342" t="inlineStr">
        <is>
          <t>Sampling</t>
        </is>
      </c>
      <c r="B6" s="344" t="n"/>
      <c r="C6" s="339" t="inlineStr">
        <is>
          <t>ronda</t>
        </is>
      </c>
      <c r="D6" s="296" t="n"/>
    </row>
    <row r="7" ht="21" customHeight="1" s="290">
      <c r="A7" s="342" t="inlineStr">
        <is>
          <t>Technical Support</t>
        </is>
      </c>
      <c r="B7" s="344" t="n"/>
      <c r="C7" s="339" t="inlineStr">
        <is>
          <t>ronda</t>
        </is>
      </c>
      <c r="D7" s="296" t="n"/>
    </row>
    <row r="8" ht="21" customHeight="1" s="290">
      <c r="A8" s="317" t="inlineStr">
        <is>
          <t>Reception</t>
        </is>
      </c>
      <c r="B8" s="345" t="n"/>
      <c r="C8" s="337" t="inlineStr">
        <is>
          <t>ronda</t>
        </is>
      </c>
      <c r="D8" s="296" t="n"/>
    </row>
  </sheetData>
  <conditionalFormatting sqref="A1:D1">
    <cfRule type="expression" rank="0" priority="2" equalAverage="0" aboveAverage="0" dxfId="0" text="" percent="0" bottom="0">
      <formula>LEN(TRIM(A1))=0</formula>
    </cfRule>
  </conditionalFormatting>
  <conditionalFormatting sqref="C4:C8">
    <cfRule type="expression" rank="0" priority="3" equalAverage="0" aboveAverage="0" dxfId="0" text="" percent="0" bottom="0">
      <formula>NOT(COUNTIF(INDIRECT("Lab Contacts!"&amp;"I$4:I"),C4)&gt;0)*NOT(ISBLANK(C4))</formula>
    </cfRule>
  </conditionalFormatting>
  <dataValidations count="2">
    <dataValidation sqref="C4:C8" showDropDown="0" showInputMessage="0" showErrorMessage="1" allowBlank="1" type="list" errorStyle="stop" operator="equal">
      <formula1>'Lab Contacts'!$I$4:$I8</formula1>
      <formula2>0</formula2>
    </dataValidation>
    <dataValidation sqref="A8" showDropDown="0" showInputMessage="0" showErrorMessage="1" allowBlank="1" type="list" errorStyle="stop" operator="equal">
      <formula1>'Lab Departments'!$A$4:$A8</formula1>
      <formula2>0</formula2>
    </dataValidation>
  </dataValidation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000000"/>
    <outlinePr summaryBelow="1" summaryRight="1"/>
    <pageSetUpPr fitToPage="0"/>
  </sheetPr>
  <dimension ref="A1:G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2.93" customWidth="1" style="289" min="1" max="1"/>
    <col width="53.42" customWidth="1" style="289" min="2" max="2"/>
    <col width="9.199999999999999" customWidth="1" style="289" min="3" max="6"/>
    <col width="20.29" customWidth="1" style="289" min="7" max="7"/>
    <col width="12.72" customWidth="1" style="289" min="8" max="1024"/>
  </cols>
  <sheetData>
    <row r="1" hidden="1" ht="20.25" customHeight="1" s="290">
      <c r="A1" s="303" t="inlineStr">
        <is>
          <t>title</t>
        </is>
      </c>
      <c r="B1" s="303" t="inlineStr">
        <is>
          <t>description</t>
        </is>
      </c>
      <c r="C1" s="303" t="inlineStr">
        <is>
          <t>volume</t>
        </is>
      </c>
      <c r="D1" s="303" t="inlineStr">
        <is>
          <t>unit</t>
        </is>
      </c>
      <c r="E1" s="346" t="inlineStr">
        <is>
          <t>price</t>
        </is>
      </c>
      <c r="F1" s="303" t="inlineStr">
        <is>
          <t>vat</t>
        </is>
      </c>
      <c r="G1" s="303" t="n"/>
    </row>
    <row r="2" ht="37.5" customHeight="1" s="290">
      <c r="A2" s="343" t="inlineStr">
        <is>
          <t>Lab Products</t>
        </is>
      </c>
      <c r="B2" s="347" t="inlineStr">
        <is>
          <t>Products lent or sold to clients, such as bottles, sampling kits etc.
Non analytical services, Consulting, Sampling, Sample prepping, etc.</t>
        </is>
      </c>
      <c r="G2" s="307">
        <f>HYPERLINK("https://www.bikalabs.com","Creative Commons BYSA
Bika Lab Systems")</f>
        <v/>
      </c>
    </row>
    <row r="3" ht="24" customHeight="1" s="290">
      <c r="A3" s="334" t="inlineStr">
        <is>
          <t>⭐ Title</t>
        </is>
      </c>
      <c r="B3" s="334" t="inlineStr">
        <is>
          <t>Description</t>
        </is>
      </c>
      <c r="C3" s="334" t="inlineStr">
        <is>
          <t>Volume</t>
        </is>
      </c>
      <c r="D3" s="334" t="inlineStr">
        <is>
          <t>Unit</t>
        </is>
      </c>
      <c r="E3" s="348" t="inlineStr">
        <is>
          <t>⭐ Price</t>
        </is>
      </c>
      <c r="F3" s="334" t="inlineStr">
        <is>
          <t>VAT %</t>
        </is>
      </c>
      <c r="G3" s="349" t="n"/>
    </row>
  </sheetData>
  <mergeCells count="1">
    <mergeCell ref="B2:F2"/>
  </mergeCells>
  <conditionalFormatting sqref="A1:G1">
    <cfRule type="expression" rank="0" priority="2" equalAverage="0" aboveAverage="0" dxfId="0" text="" percent="0" bottom="0">
      <formula>LEN(TRIM(A1))=0</formula>
    </cfRule>
  </conditionalFormatting>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FF0000"/>
    <outlinePr summaryBelow="1" summaryRight="1"/>
    <pageSetUpPr fitToPage="1"/>
  </sheetPr>
  <dimension ref="A1:W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5.32" customWidth="1" style="289" min="1" max="1"/>
    <col width="11.21" customWidth="1" style="289" min="2" max="2"/>
    <col hidden="1" outlineLevel="1" width="11.34" customWidth="1" style="289" min="3" max="3"/>
    <col hidden="1" outlineLevel="1" width="8.19" customWidth="1" style="289" min="4" max="4"/>
    <col hidden="1" outlineLevel="1" width="18.02" customWidth="1" style="289" min="5" max="5"/>
    <col width="15.24" customWidth="1" style="289" min="6" max="6"/>
    <col width="27.21" customWidth="1" style="289" min="7" max="7"/>
    <col width="20.54" customWidth="1" style="289" min="8" max="8"/>
    <col hidden="1" outlineLevel="1" width="19.02" customWidth="1" style="289" min="9" max="12"/>
    <col width="18.52" customWidth="1" style="289" min="13" max="13"/>
    <col hidden="1" outlineLevel="1" width="12.72" customWidth="1" style="289" min="14" max="15"/>
    <col hidden="1" outlineLevel="1" width="8.050000000000001" customWidth="1" style="289" min="16" max="16"/>
    <col hidden="1" outlineLevel="1" width="12.72" customWidth="1" style="289" min="17" max="17"/>
    <col width="19.15" customWidth="1" style="289" min="18" max="18"/>
    <col outlineLevel="1" width="12.72" customWidth="1" style="289" min="19" max="20"/>
    <col outlineLevel="1" width="8.050000000000001" customWidth="1" style="289" min="21" max="21"/>
    <col outlineLevel="1" width="12.72" customWidth="1" style="289" min="22" max="22"/>
    <col width="25.07" customWidth="1" style="289" min="23" max="23"/>
    <col width="12.72" customWidth="1" style="289" min="24" max="1024"/>
  </cols>
  <sheetData>
    <row r="1" hidden="1" ht="23.25" customHeight="1" s="290">
      <c r="A1" s="303" t="inlineStr">
        <is>
          <t>Name</t>
        </is>
      </c>
      <c r="B1" s="303" t="inlineStr">
        <is>
          <t>ClientID</t>
        </is>
      </c>
      <c r="C1" s="303" t="inlineStr">
        <is>
          <t>MemberDiscountApplies</t>
        </is>
      </c>
      <c r="D1" s="303" t="inlineStr">
        <is>
          <t>BulkDiscount</t>
        </is>
      </c>
      <c r="E1" s="303" t="inlineStr">
        <is>
          <t>TaxNumber</t>
        </is>
      </c>
      <c r="F1" s="350" t="inlineStr">
        <is>
          <t>Phone</t>
        </is>
      </c>
      <c r="G1" s="324" t="inlineStr">
        <is>
          <t>EmailAddress</t>
        </is>
      </c>
      <c r="H1" s="324" t="inlineStr">
        <is>
          <t>Physical_Address</t>
        </is>
      </c>
      <c r="I1" s="324" t="inlineStr">
        <is>
          <t>Physical_City</t>
        </is>
      </c>
      <c r="J1" s="324" t="inlineStr">
        <is>
          <t>Physical_State</t>
        </is>
      </c>
      <c r="K1" s="324" t="inlineStr">
        <is>
          <t>Physical_Zip</t>
        </is>
      </c>
      <c r="L1" s="324" t="inlineStr">
        <is>
          <t>Physical_Country</t>
        </is>
      </c>
      <c r="M1" s="324" t="inlineStr">
        <is>
          <t>Postal_Address</t>
        </is>
      </c>
      <c r="N1" s="324" t="inlineStr">
        <is>
          <t>Postal_City</t>
        </is>
      </c>
      <c r="O1" s="324" t="inlineStr">
        <is>
          <t>Postal_State</t>
        </is>
      </c>
      <c r="P1" s="324" t="inlineStr">
        <is>
          <t>Postal_Zip</t>
        </is>
      </c>
      <c r="Q1" s="324" t="inlineStr">
        <is>
          <t>Postal_Country</t>
        </is>
      </c>
      <c r="R1" s="324" t="inlineStr">
        <is>
          <t>Billing_Address</t>
        </is>
      </c>
      <c r="S1" s="324" t="inlineStr">
        <is>
          <t>Billing_City</t>
        </is>
      </c>
      <c r="T1" s="324" t="inlineStr">
        <is>
          <t>Billing_State</t>
        </is>
      </c>
      <c r="U1" s="324" t="inlineStr">
        <is>
          <t>Billing_Zip</t>
        </is>
      </c>
      <c r="V1" s="324" t="inlineStr">
        <is>
          <t>Billing_Country</t>
        </is>
      </c>
      <c r="W1" s="303" t="n"/>
    </row>
    <row r="2" ht="31.5" customHeight="1" s="290">
      <c r="A2" s="325">
        <f>HYPERLINK("https://www.bikalims.org/manual/clients/","Clients")</f>
        <v/>
      </c>
      <c r="B2" s="351" t="n"/>
      <c r="C2" s="352" t="inlineStr">
        <is>
          <t>Discount</t>
        </is>
      </c>
      <c r="E2" s="306" t="n"/>
      <c r="F2" s="327" t="n"/>
      <c r="G2" s="353" t="n"/>
      <c r="H2" s="354" t="inlineStr">
        <is>
          <t>Physical Address</t>
        </is>
      </c>
      <c r="I2" s="331" t="n"/>
      <c r="J2" s="331" t="n"/>
      <c r="K2" s="331" t="n"/>
      <c r="L2" s="332" t="n"/>
      <c r="M2" s="354" t="inlineStr">
        <is>
          <t>Postal Address</t>
        </is>
      </c>
      <c r="N2" s="331" t="n"/>
      <c r="O2" s="331" t="n"/>
      <c r="P2" s="331" t="n"/>
      <c r="Q2" s="332" t="n"/>
      <c r="R2" s="354" t="inlineStr">
        <is>
          <t>Billing Address</t>
        </is>
      </c>
      <c r="S2" s="331" t="n"/>
      <c r="T2" s="331" t="n"/>
      <c r="U2" s="331" t="n"/>
      <c r="V2" s="332" t="n"/>
      <c r="W2" s="355">
        <f>HYPERLINK("https://www.bikalabs.com","Creative Commons BYSA
Bika Lab Systems")</f>
        <v/>
      </c>
    </row>
    <row r="3" ht="30" customHeight="1" s="290">
      <c r="A3" s="334" t="inlineStr">
        <is>
          <t>⭐ Name</t>
        </is>
      </c>
      <c r="B3" s="334" t="inlineStr">
        <is>
          <t>⭐ Client ID</t>
        </is>
      </c>
      <c r="C3" s="334" t="inlineStr">
        <is>
          <t>Members'</t>
        </is>
      </c>
      <c r="D3" s="334" t="inlineStr">
        <is>
          <t>Bulk</t>
        </is>
      </c>
      <c r="E3" s="334" t="inlineStr">
        <is>
          <t>VAT number</t>
        </is>
      </c>
      <c r="F3" s="335" t="inlineStr">
        <is>
          <t>Phone</t>
        </is>
      </c>
      <c r="G3" s="334" t="inlineStr">
        <is>
          <t>Email address</t>
        </is>
      </c>
      <c r="H3" s="334" t="inlineStr">
        <is>
          <t>Building/Street</t>
        </is>
      </c>
      <c r="I3" s="334" t="inlineStr">
        <is>
          <t>City</t>
        </is>
      </c>
      <c r="J3" s="334" t="inlineStr">
        <is>
          <t>State/Province</t>
        </is>
      </c>
      <c r="K3" s="334" t="inlineStr">
        <is>
          <t>Zip</t>
        </is>
      </c>
      <c r="L3" s="334" t="inlineStr">
        <is>
          <t>Country</t>
        </is>
      </c>
      <c r="M3" s="356" t="inlineStr">
        <is>
          <t>PO Box</t>
        </is>
      </c>
      <c r="N3" s="334" t="inlineStr">
        <is>
          <t>City</t>
        </is>
      </c>
      <c r="O3" s="334" t="inlineStr">
        <is>
          <t>State</t>
        </is>
      </c>
      <c r="P3" s="334" t="inlineStr">
        <is>
          <t>Zip</t>
        </is>
      </c>
      <c r="Q3" s="334" t="inlineStr">
        <is>
          <t>Country</t>
        </is>
      </c>
      <c r="R3" s="356" t="inlineStr">
        <is>
          <t>PO Box</t>
        </is>
      </c>
      <c r="S3" s="357" t="inlineStr">
        <is>
          <t>City</t>
        </is>
      </c>
      <c r="T3" s="357" t="inlineStr">
        <is>
          <t>State</t>
        </is>
      </c>
      <c r="U3" s="357" t="inlineStr">
        <is>
          <t>Zip</t>
        </is>
      </c>
      <c r="V3" s="357" t="inlineStr">
        <is>
          <t>Country</t>
        </is>
      </c>
      <c r="W3" s="358" t="n"/>
    </row>
    <row r="4" ht="21" customHeight="1" s="290">
      <c r="A4" s="359" t="inlineStr">
        <is>
          <t>Raka</t>
        </is>
      </c>
      <c r="B4" s="360" t="inlineStr">
        <is>
          <t>HH</t>
        </is>
      </c>
      <c r="C4" s="337" t="n"/>
      <c r="D4" s="337" t="n"/>
      <c r="E4" s="337" t="n"/>
      <c r="F4" s="361" t="inlineStr">
        <is>
          <t>87 425 7813</t>
        </is>
      </c>
      <c r="G4" s="317" t="inlineStr">
        <is>
          <t>jahills@example.com</t>
        </is>
      </c>
      <c r="H4" s="359" t="inlineStr">
        <is>
          <t>De Vos rd 14</t>
        </is>
      </c>
      <c r="I4" s="359" t="inlineStr">
        <is>
          <t>Cape Town</t>
        </is>
      </c>
      <c r="J4" s="359" t="inlineStr">
        <is>
          <t>Western Cape</t>
        </is>
      </c>
      <c r="K4" s="359" t="n">
        <v>8001</v>
      </c>
      <c r="L4" s="296" t="inlineStr">
        <is>
          <t>South Africa</t>
        </is>
      </c>
      <c r="M4" s="359" t="inlineStr">
        <is>
          <t>P.O. Box 1246</t>
        </is>
      </c>
      <c r="N4" s="359" t="inlineStr">
        <is>
          <t>Cape Town</t>
        </is>
      </c>
      <c r="O4" s="359" t="inlineStr">
        <is>
          <t>Western Cape</t>
        </is>
      </c>
      <c r="P4" s="359" t="n">
        <v>8001</v>
      </c>
      <c r="Q4" s="296" t="inlineStr">
        <is>
          <t>South Africa</t>
        </is>
      </c>
      <c r="R4" s="359" t="inlineStr">
        <is>
          <t>P.O. Box 1246</t>
        </is>
      </c>
      <c r="S4" s="359" t="inlineStr">
        <is>
          <t>Cape Town</t>
        </is>
      </c>
      <c r="T4" s="359" t="inlineStr">
        <is>
          <t>Western Cape</t>
        </is>
      </c>
      <c r="U4" s="359" t="n">
        <v>8001</v>
      </c>
      <c r="V4" s="296" t="inlineStr">
        <is>
          <t>South Africa</t>
        </is>
      </c>
      <c r="W4" s="317" t="n"/>
    </row>
    <row r="5" ht="21" customHeight="1" s="290">
      <c r="A5" s="359" t="inlineStr">
        <is>
          <t>Umlambo Wothando</t>
        </is>
      </c>
      <c r="B5" s="360" t="inlineStr">
        <is>
          <t>KL</t>
        </is>
      </c>
      <c r="C5" s="337" t="n"/>
      <c r="D5" s="337" t="n"/>
      <c r="E5" s="337" t="n"/>
      <c r="F5" s="361" t="inlineStr">
        <is>
          <t>82 897 4789</t>
        </is>
      </c>
      <c r="G5" s="317" t="inlineStr">
        <is>
          <t>umlambo@example.com</t>
        </is>
      </c>
      <c r="H5" s="359" t="inlineStr">
        <is>
          <t>Bracken str 178</t>
        </is>
      </c>
      <c r="I5" s="359" t="inlineStr">
        <is>
          <t>Cape Town</t>
        </is>
      </c>
      <c r="J5" s="359" t="inlineStr">
        <is>
          <t>Western Cape</t>
        </is>
      </c>
      <c r="K5" s="359" t="n">
        <v>8001</v>
      </c>
      <c r="L5" s="296" t="inlineStr">
        <is>
          <t>South Africa</t>
        </is>
      </c>
      <c r="M5" s="359" t="inlineStr">
        <is>
          <t>P.O. Box 1247</t>
        </is>
      </c>
      <c r="N5" s="359" t="inlineStr">
        <is>
          <t>Cape Town</t>
        </is>
      </c>
      <c r="O5" s="359" t="inlineStr">
        <is>
          <t>Western Cape</t>
        </is>
      </c>
      <c r="P5" s="359" t="n">
        <v>8001</v>
      </c>
      <c r="Q5" s="296" t="inlineStr">
        <is>
          <t>South Africa</t>
        </is>
      </c>
      <c r="R5" s="359" t="inlineStr">
        <is>
          <t>P.O. Box 1247</t>
        </is>
      </c>
      <c r="S5" s="359" t="inlineStr">
        <is>
          <t>Cape Town</t>
        </is>
      </c>
      <c r="T5" s="359" t="inlineStr">
        <is>
          <t>Western Cape</t>
        </is>
      </c>
      <c r="U5" s="359" t="n">
        <v>8001</v>
      </c>
      <c r="V5" s="296" t="inlineStr">
        <is>
          <t>South Africa</t>
        </is>
      </c>
      <c r="W5" s="359" t="n"/>
    </row>
    <row r="6" ht="21" customHeight="1" s="290">
      <c r="A6" s="359" t="inlineStr">
        <is>
          <t>Tsolo</t>
        </is>
      </c>
      <c r="B6" s="360" t="inlineStr">
        <is>
          <t>MY</t>
        </is>
      </c>
      <c r="C6" s="337" t="n"/>
      <c r="D6" s="337" t="n"/>
      <c r="E6" s="337" t="n"/>
      <c r="F6" s="361" t="inlineStr">
        <is>
          <t>86  356 9026</t>
        </is>
      </c>
      <c r="G6" s="317" t="inlineStr">
        <is>
          <t>tsolo@example.com</t>
        </is>
      </c>
      <c r="H6" s="359" t="inlineStr">
        <is>
          <t>Cunningham rd 915</t>
        </is>
      </c>
      <c r="I6" s="359" t="inlineStr">
        <is>
          <t>Cape Town</t>
        </is>
      </c>
      <c r="J6" s="359" t="inlineStr">
        <is>
          <t>Western Cape</t>
        </is>
      </c>
      <c r="K6" s="359" t="n">
        <v>8001</v>
      </c>
      <c r="L6" s="296" t="inlineStr">
        <is>
          <t>South Africa</t>
        </is>
      </c>
      <c r="M6" s="359" t="inlineStr">
        <is>
          <t>P.O. Box 1248</t>
        </is>
      </c>
      <c r="N6" s="359" t="inlineStr">
        <is>
          <t>Cape Town</t>
        </is>
      </c>
      <c r="O6" s="359" t="inlineStr">
        <is>
          <t>Western Cape</t>
        </is>
      </c>
      <c r="P6" s="359" t="n">
        <v>8001</v>
      </c>
      <c r="Q6" s="296" t="inlineStr">
        <is>
          <t>South Africa</t>
        </is>
      </c>
      <c r="R6" s="359" t="inlineStr">
        <is>
          <t>P.O. Box 1248</t>
        </is>
      </c>
      <c r="S6" s="359" t="inlineStr">
        <is>
          <t>Cape Town</t>
        </is>
      </c>
      <c r="T6" s="359" t="inlineStr">
        <is>
          <t>Western Cape</t>
        </is>
      </c>
      <c r="U6" s="359" t="n">
        <v>8001</v>
      </c>
      <c r="V6" s="296" t="inlineStr">
        <is>
          <t>South Africa</t>
        </is>
      </c>
      <c r="W6" s="359" t="n"/>
    </row>
    <row r="7" ht="21" customHeight="1" s="290">
      <c r="A7" s="359" t="inlineStr">
        <is>
          <t>Coffee Bay</t>
        </is>
      </c>
      <c r="B7" s="360" t="inlineStr">
        <is>
          <t>RUF</t>
        </is>
      </c>
      <c r="C7" s="337" t="n"/>
      <c r="D7" s="337" t="n"/>
      <c r="E7" s="337" t="n"/>
      <c r="F7" s="361" t="inlineStr">
        <is>
          <t>86 283 9012</t>
        </is>
      </c>
      <c r="G7" s="317" t="inlineStr">
        <is>
          <t>coffeebay@example.com</t>
        </is>
      </c>
      <c r="H7" s="359" t="inlineStr">
        <is>
          <t>Kuilsriver ln 25</t>
        </is>
      </c>
      <c r="I7" s="359" t="inlineStr">
        <is>
          <t>Cape Town</t>
        </is>
      </c>
      <c r="J7" s="359" t="inlineStr">
        <is>
          <t>Western Cape</t>
        </is>
      </c>
      <c r="K7" s="359" t="n">
        <v>8001</v>
      </c>
      <c r="L7" s="296" t="inlineStr">
        <is>
          <t>South Africa</t>
        </is>
      </c>
      <c r="M7" s="359" t="inlineStr">
        <is>
          <t>P.O. Box 1249</t>
        </is>
      </c>
      <c r="N7" s="359" t="inlineStr">
        <is>
          <t>Cape Town</t>
        </is>
      </c>
      <c r="O7" s="359" t="inlineStr">
        <is>
          <t>Western Cape</t>
        </is>
      </c>
      <c r="P7" s="359" t="n">
        <v>8001</v>
      </c>
      <c r="Q7" s="296" t="inlineStr">
        <is>
          <t>South Africa</t>
        </is>
      </c>
      <c r="R7" s="359" t="inlineStr">
        <is>
          <t>P.O. Box 1249</t>
        </is>
      </c>
      <c r="S7" s="359" t="inlineStr">
        <is>
          <t>Cape Town</t>
        </is>
      </c>
      <c r="T7" s="359" t="inlineStr">
        <is>
          <t>Western Cape</t>
        </is>
      </c>
      <c r="U7" s="359" t="n">
        <v>8001</v>
      </c>
      <c r="V7" s="296" t="inlineStr">
        <is>
          <t>South Africa</t>
        </is>
      </c>
      <c r="W7" s="359" t="n"/>
    </row>
    <row r="8" ht="21" customHeight="1" s="290">
      <c r="A8" s="359" t="inlineStr">
        <is>
          <t>Mandini Farms</t>
        </is>
      </c>
      <c r="B8" s="360" t="inlineStr">
        <is>
          <t>SS</t>
        </is>
      </c>
      <c r="C8" s="337" t="n"/>
      <c r="D8" s="337" t="n"/>
      <c r="E8" s="337" t="n"/>
      <c r="F8" s="361" t="inlineStr">
        <is>
          <t>84 718 9721</t>
        </is>
      </c>
      <c r="G8" s="317" t="inlineStr">
        <is>
          <t>mandini@example.com</t>
        </is>
      </c>
      <c r="H8" s="359" t="inlineStr">
        <is>
          <t>Lightholm ave 617</t>
        </is>
      </c>
      <c r="I8" s="359" t="inlineStr">
        <is>
          <t>Cape Town</t>
        </is>
      </c>
      <c r="J8" s="359" t="inlineStr">
        <is>
          <t>Western Cape</t>
        </is>
      </c>
      <c r="K8" s="359" t="n">
        <v>8001</v>
      </c>
      <c r="L8" s="296" t="inlineStr">
        <is>
          <t>South Africa</t>
        </is>
      </c>
      <c r="M8" s="359" t="inlineStr">
        <is>
          <t>P.O. Box 1250</t>
        </is>
      </c>
      <c r="N8" s="359" t="inlineStr">
        <is>
          <t>Cape Town</t>
        </is>
      </c>
      <c r="O8" s="359" t="inlineStr">
        <is>
          <t>Western Cape</t>
        </is>
      </c>
      <c r="P8" s="359" t="n">
        <v>8001</v>
      </c>
      <c r="Q8" s="296" t="inlineStr">
        <is>
          <t>South Africa</t>
        </is>
      </c>
      <c r="R8" s="359" t="inlineStr">
        <is>
          <t>P.O. Box 1250</t>
        </is>
      </c>
      <c r="S8" s="359" t="inlineStr">
        <is>
          <t>Cape Town</t>
        </is>
      </c>
      <c r="T8" s="359" t="inlineStr">
        <is>
          <t>Western Cape</t>
        </is>
      </c>
      <c r="U8" s="359" t="n">
        <v>8001</v>
      </c>
      <c r="V8" s="296" t="inlineStr">
        <is>
          <t>South Africa</t>
        </is>
      </c>
      <c r="W8" s="359" t="n"/>
    </row>
  </sheetData>
  <mergeCells count="4">
    <mergeCell ref="H2:L2"/>
    <mergeCell ref="R2:V2"/>
    <mergeCell ref="C2:D2"/>
    <mergeCell ref="M2:Q2"/>
  </mergeCells>
  <conditionalFormatting sqref="A1:W1">
    <cfRule type="expression" rank="0" priority="2" equalAverage="0" aboveAverage="0" dxfId="0" text="" percent="0" bottom="0">
      <formula>LEN(TRIM(A1))=0</formula>
    </cfRule>
  </conditionalFormatting>
  <dataValidations count="2">
    <dataValidation sqref="C4:D8" showDropDown="0" showInputMessage="1" showErrorMessage="1" allowBlank="1" prompt="Click and enter a value from the list of items" type="list" errorStyle="stop" operator="equal">
      <formula1>"0,1"</formula1>
      <formula2>0</formula2>
    </dataValidation>
    <dataValidation sqref="L4:L8 Q4:Q8 V4:V8" showDropDown="0" showInputMessage="0" showErrorMessage="1" allowBlank="1" type="list" errorStyle="stop" operator="equal">
      <formula1>'Countries, Currencies'!$B$3:$B$251</formula1>
      <formula2>0</formula2>
    </dataValidation>
  </dataValidations>
  <printOptions horizontalCentered="1" verticalCentered="0" headings="0" gridLines="1" gridLinesSet="1"/>
  <pageMargins left="0.7" right="0.7" top="0.75" bottom="0.75" header="0.511811023622047" footer="0.511811023622047"/>
  <pageSetup orientation="portrait" paperSize="1" scale="100" fitToHeight="0" fitToWidth="1" pageOrder="overThenDown" blackAndWhite="0" draft="0" horizontalDpi="300" verticalDpi="300" copies="1"/>
</worksheet>
</file>

<file path=xl/worksheets/sheet7.xml><?xml version="1.0" encoding="utf-8"?>
<worksheet xmlns="http://schemas.openxmlformats.org/spreadsheetml/2006/main">
  <sheetPr filterMode="0">
    <tabColor rgb="FFFF0000"/>
    <outlinePr summaryBelow="1" summaryRight="1"/>
    <pageSetUpPr fitToPage="1"/>
  </sheetPr>
  <dimension ref="A1:AR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5.83" customWidth="1" style="289" min="1" max="1"/>
    <col width="9.699999999999999" customWidth="1" style="289" min="2" max="2"/>
    <col width="12.47" customWidth="1" style="289" min="3" max="3"/>
    <col width="12.22" customWidth="1" style="289" min="4" max="4"/>
    <col hidden="1" outlineLevel="1" width="16.63" customWidth="1" style="289" min="5" max="5"/>
    <col hidden="1" outlineLevel="1" width="17.76" customWidth="1" style="289" min="6" max="6"/>
    <col hidden="1" outlineLevel="1" width="22.05" customWidth="1" style="289" min="7" max="7"/>
    <col hidden="1" outlineLevel="1" width="22.17" customWidth="1" style="289" min="8" max="8"/>
    <col width="16.63" customWidth="1" style="289" min="9" max="9"/>
    <col hidden="1" outlineLevel="1" width="19.52" customWidth="1" style="289" min="10" max="10"/>
    <col hidden="1" outlineLevel="1" width="17.63" customWidth="1" style="289" min="11" max="11"/>
    <col width="18.78" customWidth="1" style="289" min="12" max="12"/>
    <col width="23.69" customWidth="1" style="289" min="13" max="13"/>
    <col outlineLevel="1" width="22.43" customWidth="1" style="289" min="14" max="14"/>
    <col outlineLevel="1" width="20.02" customWidth="1" style="289" min="15" max="15"/>
    <col width="20.66" customWidth="1" style="289" min="16" max="16"/>
    <col outlineLevel="1" width="13.48" customWidth="1" style="289" min="17" max="17"/>
    <col outlineLevel="1" width="15.24" customWidth="1" style="289" min="18" max="18"/>
    <col outlineLevel="1" width="8.449999999999999" customWidth="1" style="289" min="19" max="19"/>
    <col outlineLevel="1" width="18.02" customWidth="1" style="289" min="20" max="20"/>
    <col width="25.07" customWidth="1" style="289" min="21" max="21"/>
    <col outlineLevel="1" width="10.2" customWidth="1" style="289" min="22" max="22"/>
    <col outlineLevel="1" width="16.5" customWidth="1" style="289" min="23" max="23"/>
    <col outlineLevel="1" width="10.2" customWidth="1" style="289" min="24" max="24"/>
    <col outlineLevel="1" width="15.11" customWidth="1" style="289" min="25" max="25"/>
    <col width="23.31" customWidth="1" style="289" min="26" max="44"/>
    <col width="12.72" customWidth="1" style="289" min="45" max="1024"/>
  </cols>
  <sheetData>
    <row r="1" hidden="1" ht="23.25" customHeight="1" s="290">
      <c r="A1" s="303" t="inlineStr">
        <is>
          <t>Client_title</t>
        </is>
      </c>
      <c r="B1" s="303" t="inlineStr">
        <is>
          <t>Salutation</t>
        </is>
      </c>
      <c r="C1" s="362" t="inlineStr">
        <is>
          <t>Firstname</t>
        </is>
      </c>
      <c r="D1" s="362" t="inlineStr">
        <is>
          <t>Surname</t>
        </is>
      </c>
      <c r="E1" s="303" t="inlineStr">
        <is>
          <t>Username</t>
        </is>
      </c>
      <c r="F1" s="324" t="inlineStr">
        <is>
          <t>Password</t>
        </is>
      </c>
      <c r="G1" s="324" t="inlineStr">
        <is>
          <t>JobTitle</t>
        </is>
      </c>
      <c r="H1" s="303" t="inlineStr">
        <is>
          <t>Department</t>
        </is>
      </c>
      <c r="I1" s="350" t="inlineStr">
        <is>
          <t>BusinessPhone</t>
        </is>
      </c>
      <c r="J1" s="303" t="inlineStr">
        <is>
          <t>HomePhone</t>
        </is>
      </c>
      <c r="K1" s="363" t="inlineStr">
        <is>
          <t>MobilePhone</t>
        </is>
      </c>
      <c r="L1" s="303" t="inlineStr">
        <is>
          <t>EmailAddress</t>
        </is>
      </c>
      <c r="M1" s="303" t="inlineStr">
        <is>
          <t>PublicationPreference</t>
        </is>
      </c>
      <c r="N1" s="303" t="inlineStr">
        <is>
          <t>CCContacts</t>
        </is>
      </c>
      <c r="O1" s="303" t="inlineStr">
        <is>
          <t>AttachmentsPermitted</t>
        </is>
      </c>
      <c r="P1" s="303" t="inlineStr">
        <is>
          <t>Physical_Address</t>
        </is>
      </c>
      <c r="Q1" s="303" t="inlineStr">
        <is>
          <t>Physical_City</t>
        </is>
      </c>
      <c r="R1" s="303" t="inlineStr">
        <is>
          <t>Physical_State</t>
        </is>
      </c>
      <c r="S1" s="303" t="inlineStr">
        <is>
          <t>Physical_Zip</t>
        </is>
      </c>
      <c r="T1" s="303" t="inlineStr">
        <is>
          <t>Physical_Country</t>
        </is>
      </c>
      <c r="U1" s="303" t="inlineStr">
        <is>
          <t>Postal_Address</t>
        </is>
      </c>
      <c r="V1" s="303" t="inlineStr">
        <is>
          <t>Postal_City</t>
        </is>
      </c>
      <c r="W1" s="303" t="inlineStr">
        <is>
          <t>Postal_State</t>
        </is>
      </c>
      <c r="X1" s="303" t="inlineStr">
        <is>
          <t>Postal_Zip</t>
        </is>
      </c>
      <c r="Y1" s="303" t="inlineStr">
        <is>
          <t>Postal_Country</t>
        </is>
      </c>
      <c r="Z1" s="303" t="n"/>
      <c r="AA1" s="303" t="n"/>
      <c r="AB1" s="303" t="n"/>
      <c r="AC1" s="303" t="n"/>
      <c r="AD1" s="303" t="n"/>
      <c r="AE1" s="303" t="n"/>
      <c r="AF1" s="303" t="n"/>
      <c r="AG1" s="303" t="n"/>
      <c r="AH1" s="303" t="n"/>
      <c r="AI1" s="303" t="n"/>
      <c r="AJ1" s="303" t="n"/>
      <c r="AK1" s="303" t="n"/>
      <c r="AL1" s="303" t="n"/>
      <c r="AM1" s="303" t="n"/>
      <c r="AN1" s="303" t="n"/>
      <c r="AO1" s="303" t="n"/>
      <c r="AP1" s="303" t="n"/>
      <c r="AQ1" s="303" t="n"/>
      <c r="AR1" s="303" t="n"/>
    </row>
    <row r="2" ht="37.5" customHeight="1" s="290">
      <c r="A2" s="343">
        <f>HYPERLINK("https://www.bikalims.org/manual/clients/client-contacts-client-users","Client Contacts")</f>
        <v/>
      </c>
      <c r="B2" s="312" t="inlineStr">
        <is>
          <t>Client staff the LIMS and lab communicate with</t>
        </is>
      </c>
      <c r="D2" s="329" t="n"/>
      <c r="E2" s="351" t="n"/>
      <c r="F2" s="327" t="n"/>
      <c r="G2" s="306" t="n"/>
      <c r="H2" s="329" t="n"/>
      <c r="I2" s="364" t="inlineStr">
        <is>
          <t>Phone</t>
        </is>
      </c>
      <c r="J2" s="331" t="n"/>
      <c r="K2" s="332" t="n"/>
      <c r="L2" s="329" t="n"/>
      <c r="M2" s="354" t="inlineStr">
        <is>
          <t xml:space="preserve">COA  </t>
        </is>
      </c>
      <c r="N2" s="331" t="n"/>
      <c r="O2" s="332" t="n"/>
      <c r="P2" s="365" t="inlineStr">
        <is>
          <t>Physical Address</t>
        </is>
      </c>
      <c r="Q2" s="331" t="n"/>
      <c r="R2" s="331" t="n"/>
      <c r="S2" s="331" t="n"/>
      <c r="T2" s="332" t="n"/>
      <c r="U2" s="334" t="inlineStr">
        <is>
          <t>Postal Address</t>
        </is>
      </c>
      <c r="V2" s="331" t="n"/>
      <c r="W2" s="331" t="n"/>
      <c r="X2" s="331" t="n"/>
      <c r="Y2" s="332" t="n"/>
      <c r="Z2" s="307">
        <f>HYPERLINK("https://www.bikalabs.com","Creative Commons BYSA
Bika Lab Systems")</f>
        <v/>
      </c>
      <c r="AA2" s="366" t="n"/>
      <c r="AB2" s="366" t="n"/>
      <c r="AC2" s="366" t="n"/>
      <c r="AD2" s="366" t="n"/>
      <c r="AE2" s="366" t="n"/>
      <c r="AF2" s="366" t="n"/>
      <c r="AG2" s="366" t="n"/>
      <c r="AH2" s="366" t="n"/>
      <c r="AI2" s="366" t="n"/>
      <c r="AJ2" s="366" t="n"/>
      <c r="AK2" s="366" t="n"/>
      <c r="AL2" s="366" t="n"/>
      <c r="AM2" s="366" t="n"/>
      <c r="AN2" s="366" t="n"/>
      <c r="AO2" s="366" t="n"/>
      <c r="AP2" s="366" t="n"/>
      <c r="AQ2" s="366" t="n"/>
      <c r="AR2" s="366" t="n"/>
    </row>
    <row r="3" ht="24" customHeight="1" s="290">
      <c r="A3" s="356" t="inlineStr">
        <is>
          <t>⭐ Client title</t>
        </is>
      </c>
      <c r="B3" s="334" t="inlineStr">
        <is>
          <t>Salutation</t>
        </is>
      </c>
      <c r="C3" s="334" t="inlineStr">
        <is>
          <t>⭐ First name</t>
        </is>
      </c>
      <c r="D3" s="334" t="inlineStr">
        <is>
          <t>⭐ Surname</t>
        </is>
      </c>
      <c r="E3" s="334" t="inlineStr">
        <is>
          <t>Username</t>
        </is>
      </c>
      <c r="F3" s="334" t="inlineStr">
        <is>
          <t>Password</t>
        </is>
      </c>
      <c r="G3" s="334" t="inlineStr">
        <is>
          <t>Job title</t>
        </is>
      </c>
      <c r="H3" s="356" t="inlineStr">
        <is>
          <t>Department</t>
        </is>
      </c>
      <c r="I3" s="335" t="inlineStr">
        <is>
          <t>Business</t>
        </is>
      </c>
      <c r="J3" s="334" t="inlineStr">
        <is>
          <t>Home</t>
        </is>
      </c>
      <c r="K3" s="335" t="inlineStr">
        <is>
          <t>Mobile</t>
        </is>
      </c>
      <c r="L3" s="334" t="inlineStr">
        <is>
          <t>Email address</t>
        </is>
      </c>
      <c r="M3" s="334" t="inlineStr">
        <is>
          <t>Publication preference</t>
        </is>
      </c>
      <c r="N3" s="334" t="inlineStr">
        <is>
          <t>Colleagues cc'd</t>
        </is>
      </c>
      <c r="O3" s="334" t="inlineStr">
        <is>
          <t>Attachments? Y/N</t>
        </is>
      </c>
      <c r="P3" s="334" t="inlineStr">
        <is>
          <t>Building/Street</t>
        </is>
      </c>
      <c r="Q3" s="356" t="inlineStr">
        <is>
          <t>City</t>
        </is>
      </c>
      <c r="R3" s="356" t="inlineStr">
        <is>
          <t>State/Province</t>
        </is>
      </c>
      <c r="S3" s="356" t="inlineStr">
        <is>
          <t>Zip</t>
        </is>
      </c>
      <c r="T3" s="356" t="inlineStr">
        <is>
          <t>Country</t>
        </is>
      </c>
      <c r="U3" s="367" t="inlineStr">
        <is>
          <t>PO Box</t>
        </is>
      </c>
      <c r="V3" s="356" t="inlineStr">
        <is>
          <t>City</t>
        </is>
      </c>
      <c r="W3" s="309" t="inlineStr">
        <is>
          <t>State/Province</t>
        </is>
      </c>
      <c r="X3" s="356" t="inlineStr">
        <is>
          <t>Zip</t>
        </is>
      </c>
      <c r="Y3" s="368" t="inlineStr">
        <is>
          <t>Country</t>
        </is>
      </c>
      <c r="Z3" s="369" t="n"/>
      <c r="AA3" s="369" t="n"/>
      <c r="AB3" s="369" t="n"/>
      <c r="AC3" s="369" t="n"/>
      <c r="AD3" s="369" t="n"/>
      <c r="AE3" s="369" t="n"/>
      <c r="AF3" s="369" t="n"/>
      <c r="AG3" s="369" t="n"/>
      <c r="AH3" s="369" t="n"/>
      <c r="AI3" s="369" t="n"/>
      <c r="AJ3" s="369" t="n"/>
      <c r="AK3" s="369" t="n"/>
      <c r="AL3" s="369" t="n"/>
      <c r="AM3" s="369" t="n"/>
      <c r="AN3" s="369" t="n"/>
      <c r="AO3" s="369" t="n"/>
      <c r="AP3" s="369" t="n"/>
      <c r="AQ3" s="369" t="n"/>
      <c r="AR3" s="369" t="n"/>
    </row>
    <row r="4" ht="21" customHeight="1" s="290">
      <c r="A4" s="337" t="inlineStr">
        <is>
          <t>Raka</t>
        </is>
      </c>
      <c r="B4" s="337" t="inlineStr">
        <is>
          <t>Ms</t>
        </is>
      </c>
      <c r="C4" s="370" t="inlineStr">
        <is>
          <t>Rita</t>
        </is>
      </c>
      <c r="D4" s="370" t="inlineStr">
        <is>
          <t>Mohale</t>
        </is>
      </c>
      <c r="E4" s="317" t="inlineStr">
        <is>
          <t>rita</t>
        </is>
      </c>
      <c r="F4" s="317" t="inlineStr">
        <is>
          <t>ritamo</t>
        </is>
      </c>
      <c r="G4" s="317" t="inlineStr">
        <is>
          <t>Product assistant</t>
        </is>
      </c>
      <c r="H4" s="317" t="inlineStr">
        <is>
          <t>Chemistry</t>
        </is>
      </c>
      <c r="I4" s="371" t="inlineStr">
        <is>
          <t>038 664 6469</t>
        </is>
      </c>
      <c r="J4" s="337" t="inlineStr">
        <is>
          <t>038 664 7338</t>
        </is>
      </c>
      <c r="K4" s="371" t="inlineStr">
        <is>
          <t>038 664 7757</t>
        </is>
      </c>
      <c r="L4" s="372" t="inlineStr">
        <is>
          <t>mohale@example.com</t>
        </is>
      </c>
      <c r="M4" s="372" t="inlineStr">
        <is>
          <t>email,pdf</t>
        </is>
      </c>
      <c r="N4" s="372" t="inlineStr">
        <is>
          <t>Akua Abebe</t>
        </is>
      </c>
      <c r="O4" s="372" t="inlineStr">
        <is>
          <t>Permitted</t>
        </is>
      </c>
      <c r="P4" s="337" t="inlineStr">
        <is>
          <t>De Vos rd 14</t>
        </is>
      </c>
      <c r="Q4" s="317" t="inlineStr">
        <is>
          <t>Cape Town</t>
        </is>
      </c>
      <c r="R4" s="317" t="inlineStr">
        <is>
          <t>Western Cape</t>
        </is>
      </c>
      <c r="S4" s="317" t="n">
        <v>8001</v>
      </c>
      <c r="T4" s="317" t="inlineStr">
        <is>
          <t>South Africa</t>
        </is>
      </c>
      <c r="U4" s="337" t="inlineStr">
        <is>
          <t>P.O. Box 1246</t>
        </is>
      </c>
      <c r="V4" s="317" t="inlineStr">
        <is>
          <t>Cape Town</t>
        </is>
      </c>
      <c r="W4" s="317" t="inlineStr">
        <is>
          <t>Western Cape</t>
        </is>
      </c>
      <c r="X4" s="317" t="n">
        <v>8001</v>
      </c>
      <c r="Y4" s="317" t="inlineStr">
        <is>
          <t>South Africa</t>
        </is>
      </c>
      <c r="Z4" s="317" t="n"/>
      <c r="AA4" s="317" t="n"/>
      <c r="AB4" s="317" t="n"/>
      <c r="AC4" s="317" t="n"/>
      <c r="AD4" s="317" t="n"/>
      <c r="AE4" s="317" t="n"/>
      <c r="AF4" s="317" t="n"/>
      <c r="AG4" s="317" t="n"/>
      <c r="AH4" s="317" t="n"/>
      <c r="AI4" s="317" t="n"/>
      <c r="AJ4" s="317" t="n"/>
      <c r="AK4" s="317" t="n"/>
      <c r="AL4" s="317" t="n"/>
      <c r="AM4" s="317" t="n"/>
      <c r="AN4" s="317" t="n"/>
      <c r="AO4" s="317" t="n"/>
      <c r="AP4" s="317" t="n"/>
      <c r="AQ4" s="317" t="n"/>
      <c r="AR4" s="317" t="n"/>
    </row>
    <row r="5" ht="21" customHeight="1" s="290">
      <c r="A5" s="337" t="inlineStr">
        <is>
          <t>Raka</t>
        </is>
      </c>
      <c r="B5" s="337" t="inlineStr">
        <is>
          <t>Ms</t>
        </is>
      </c>
      <c r="C5" s="338" t="inlineStr">
        <is>
          <t>Akua</t>
        </is>
      </c>
      <c r="D5" s="317" t="inlineStr">
        <is>
          <t>Abebe</t>
        </is>
      </c>
      <c r="E5" s="317" t="inlineStr">
        <is>
          <t>akua</t>
        </is>
      </c>
      <c r="F5" s="317" t="inlineStr">
        <is>
          <t>akuaab</t>
        </is>
      </c>
      <c r="G5" s="317" t="inlineStr">
        <is>
          <t>Manager</t>
        </is>
      </c>
      <c r="H5" s="317" t="inlineStr">
        <is>
          <t>Nutrient management</t>
        </is>
      </c>
      <c r="I5" s="371" t="inlineStr">
        <is>
          <t>040 666 6630</t>
        </is>
      </c>
      <c r="J5" s="337" t="inlineStr">
        <is>
          <t>040 666 7834</t>
        </is>
      </c>
      <c r="K5" s="371" t="inlineStr">
        <is>
          <t>040 666 7858</t>
        </is>
      </c>
      <c r="L5" s="296" t="inlineStr">
        <is>
          <t>seemonster@example.com</t>
        </is>
      </c>
      <c r="M5" s="296" t="inlineStr">
        <is>
          <t>email,pdf</t>
        </is>
      </c>
      <c r="N5" s="296" t="inlineStr">
        <is>
          <t>Rita Mohale</t>
        </is>
      </c>
      <c r="O5" s="296" t="inlineStr">
        <is>
          <t>Permitted</t>
        </is>
      </c>
      <c r="P5" s="337" t="inlineStr">
        <is>
          <t>De Vos rd 14</t>
        </is>
      </c>
      <c r="Q5" s="317" t="inlineStr">
        <is>
          <t>Cape Town</t>
        </is>
      </c>
      <c r="R5" s="317" t="inlineStr">
        <is>
          <t>Western Cape</t>
        </is>
      </c>
      <c r="S5" s="317" t="n">
        <v>8001</v>
      </c>
      <c r="T5" s="317" t="inlineStr">
        <is>
          <t>South Africa</t>
        </is>
      </c>
      <c r="U5" s="337" t="inlineStr">
        <is>
          <t>P.O. Box 1246</t>
        </is>
      </c>
      <c r="V5" s="317" t="inlineStr">
        <is>
          <t>Cape Town</t>
        </is>
      </c>
      <c r="W5" s="317" t="inlineStr">
        <is>
          <t>Western Cape</t>
        </is>
      </c>
      <c r="X5" s="317" t="n">
        <v>8001</v>
      </c>
      <c r="Y5" s="317" t="inlineStr">
        <is>
          <t>South Africa</t>
        </is>
      </c>
      <c r="Z5" s="317" t="n"/>
      <c r="AA5" s="317" t="n"/>
      <c r="AB5" s="317" t="n"/>
      <c r="AC5" s="317" t="n"/>
      <c r="AD5" s="317" t="n"/>
      <c r="AE5" s="317" t="n"/>
      <c r="AF5" s="317" t="n"/>
      <c r="AG5" s="317" t="n"/>
      <c r="AH5" s="317" t="n"/>
      <c r="AI5" s="317" t="n"/>
      <c r="AJ5" s="317" t="n"/>
      <c r="AK5" s="317" t="n"/>
      <c r="AL5" s="317" t="n"/>
      <c r="AM5" s="317" t="n"/>
      <c r="AN5" s="317" t="n"/>
      <c r="AO5" s="317" t="n"/>
      <c r="AP5" s="317" t="n"/>
      <c r="AQ5" s="317" t="n"/>
      <c r="AR5" s="317" t="n"/>
    </row>
    <row r="6" ht="21" customHeight="1" s="290">
      <c r="A6" s="337" t="inlineStr">
        <is>
          <t>Raka</t>
        </is>
      </c>
      <c r="B6" s="337" t="inlineStr">
        <is>
          <t>Mr</t>
        </is>
      </c>
      <c r="C6" s="338" t="inlineStr">
        <is>
          <t>Baako</t>
        </is>
      </c>
      <c r="D6" s="317" t="inlineStr">
        <is>
          <t>Buhle</t>
        </is>
      </c>
      <c r="E6" s="317" t="inlineStr">
        <is>
          <t>baako</t>
        </is>
      </c>
      <c r="F6" s="317" t="inlineStr">
        <is>
          <t>baako</t>
        </is>
      </c>
      <c r="G6" s="317" t="inlineStr">
        <is>
          <t>Research  assistant</t>
        </is>
      </c>
      <c r="H6" s="317" t="inlineStr">
        <is>
          <t>Product development</t>
        </is>
      </c>
      <c r="I6" s="371" t="inlineStr">
        <is>
          <t>035 597 5814</t>
        </is>
      </c>
      <c r="J6" s="337" t="inlineStr">
        <is>
          <t>035 597 6876</t>
        </is>
      </c>
      <c r="K6" s="371" t="inlineStr">
        <is>
          <t>035 597 6344</t>
        </is>
      </c>
      <c r="L6" s="296" t="inlineStr">
        <is>
          <t>standard@example.com</t>
        </is>
      </c>
      <c r="M6" s="296" t="inlineStr">
        <is>
          <t>email,pdf</t>
        </is>
      </c>
      <c r="N6" s="372" t="inlineStr">
        <is>
          <t>Akua Abebe</t>
        </is>
      </c>
      <c r="O6" s="296" t="inlineStr">
        <is>
          <t>Permitted</t>
        </is>
      </c>
      <c r="P6" s="337" t="inlineStr">
        <is>
          <t>De Vos rd 14</t>
        </is>
      </c>
      <c r="Q6" s="317" t="inlineStr">
        <is>
          <t>Cape Town</t>
        </is>
      </c>
      <c r="R6" s="317" t="inlineStr">
        <is>
          <t>Western Cape</t>
        </is>
      </c>
      <c r="S6" s="317" t="n">
        <v>8001</v>
      </c>
      <c r="T6" s="317" t="inlineStr">
        <is>
          <t>South Africa</t>
        </is>
      </c>
      <c r="U6" s="337" t="inlineStr">
        <is>
          <t>P.O. Box 1246</t>
        </is>
      </c>
      <c r="V6" s="317" t="inlineStr">
        <is>
          <t>Cape Town</t>
        </is>
      </c>
      <c r="W6" s="317" t="inlineStr">
        <is>
          <t>Western Cape</t>
        </is>
      </c>
      <c r="X6" s="317" t="n">
        <v>8001</v>
      </c>
      <c r="Y6" s="317" t="inlineStr">
        <is>
          <t>South Africa</t>
        </is>
      </c>
      <c r="Z6" s="317" t="n"/>
      <c r="AA6" s="317" t="n"/>
      <c r="AB6" s="317" t="n"/>
      <c r="AC6" s="317" t="n"/>
      <c r="AD6" s="317" t="n"/>
      <c r="AE6" s="317" t="n"/>
      <c r="AF6" s="317" t="n"/>
      <c r="AG6" s="317" t="n"/>
      <c r="AH6" s="317" t="n"/>
      <c r="AI6" s="317" t="n"/>
      <c r="AJ6" s="317" t="n"/>
      <c r="AK6" s="317" t="n"/>
      <c r="AL6" s="317" t="n"/>
      <c r="AM6" s="317" t="n"/>
      <c r="AN6" s="317" t="n"/>
      <c r="AO6" s="317" t="n"/>
      <c r="AP6" s="317" t="n"/>
      <c r="AQ6" s="317" t="n"/>
      <c r="AR6" s="317" t="n"/>
    </row>
    <row r="7" ht="21" customHeight="1" s="290">
      <c r="A7" s="337" t="inlineStr">
        <is>
          <t>Umlambo Wothando</t>
        </is>
      </c>
      <c r="B7" s="337" t="inlineStr">
        <is>
          <t>Ms</t>
        </is>
      </c>
      <c r="C7" s="338" t="inlineStr">
        <is>
          <t>Bongani</t>
        </is>
      </c>
      <c r="D7" s="317" t="inlineStr">
        <is>
          <t>Egebe</t>
        </is>
      </c>
      <c r="E7" s="317" t="inlineStr">
        <is>
          <t>bongani</t>
        </is>
      </c>
      <c r="F7" s="317" t="inlineStr">
        <is>
          <t>bongani</t>
        </is>
      </c>
      <c r="G7" s="317" t="inlineStr">
        <is>
          <t>Scientist</t>
        </is>
      </c>
      <c r="H7" s="317" t="inlineStr">
        <is>
          <t>Soil science</t>
        </is>
      </c>
      <c r="I7" s="371" t="inlineStr">
        <is>
          <t>036 640 6016</t>
        </is>
      </c>
      <c r="J7" s="337" t="inlineStr">
        <is>
          <t>036 640 6911</t>
        </is>
      </c>
      <c r="K7" s="371" t="inlineStr">
        <is>
          <t>036 6407167</t>
        </is>
      </c>
      <c r="L7" s="296" t="inlineStr">
        <is>
          <t>smith@example.com</t>
        </is>
      </c>
      <c r="M7" s="296" t="inlineStr">
        <is>
          <t>email,pdf</t>
        </is>
      </c>
      <c r="N7" s="296" t="n"/>
      <c r="O7" s="296" t="inlineStr">
        <is>
          <t>Permitted</t>
        </is>
      </c>
      <c r="P7" s="337" t="inlineStr">
        <is>
          <t>Bracken str 178</t>
        </is>
      </c>
      <c r="Q7" s="317" t="inlineStr">
        <is>
          <t>Cape Town</t>
        </is>
      </c>
      <c r="R7" s="317" t="inlineStr">
        <is>
          <t>Western Cape</t>
        </is>
      </c>
      <c r="S7" s="317" t="n">
        <v>8001</v>
      </c>
      <c r="T7" s="317" t="inlineStr">
        <is>
          <t>South Africa</t>
        </is>
      </c>
      <c r="U7" s="337" t="inlineStr">
        <is>
          <t>P.O. Box 1247</t>
        </is>
      </c>
      <c r="V7" s="317" t="inlineStr">
        <is>
          <t>Cape Town</t>
        </is>
      </c>
      <c r="W7" s="317" t="inlineStr">
        <is>
          <t>Western Cape</t>
        </is>
      </c>
      <c r="X7" s="317" t="n">
        <v>8001</v>
      </c>
      <c r="Y7" s="317" t="inlineStr">
        <is>
          <t>South Africa</t>
        </is>
      </c>
      <c r="Z7" s="317" t="n"/>
      <c r="AA7" s="317" t="n"/>
      <c r="AB7" s="317" t="n"/>
      <c r="AC7" s="317" t="n"/>
      <c r="AD7" s="317" t="n"/>
      <c r="AE7" s="317" t="n"/>
      <c r="AF7" s="317" t="n"/>
      <c r="AG7" s="317" t="n"/>
      <c r="AH7" s="317" t="n"/>
      <c r="AI7" s="317" t="n"/>
      <c r="AJ7" s="317" t="n"/>
      <c r="AK7" s="317" t="n"/>
      <c r="AL7" s="317" t="n"/>
      <c r="AM7" s="317" t="n"/>
      <c r="AN7" s="317" t="n"/>
      <c r="AO7" s="317" t="n"/>
      <c r="AP7" s="317" t="n"/>
      <c r="AQ7" s="317" t="n"/>
      <c r="AR7" s="317" t="n"/>
    </row>
    <row r="8" ht="21" customHeight="1" s="290">
      <c r="A8" s="337" t="inlineStr">
        <is>
          <t>Tsolo</t>
        </is>
      </c>
      <c r="B8" s="337" t="inlineStr">
        <is>
          <t>Mr</t>
        </is>
      </c>
      <c r="C8" s="338" t="inlineStr">
        <is>
          <t>Fred</t>
        </is>
      </c>
      <c r="D8" s="317" t="inlineStr">
        <is>
          <t>Turner</t>
        </is>
      </c>
      <c r="E8" s="317" t="inlineStr">
        <is>
          <t>fred</t>
        </is>
      </c>
      <c r="F8" s="317" t="inlineStr">
        <is>
          <t>fredtu</t>
        </is>
      </c>
      <c r="G8" s="317" t="inlineStr">
        <is>
          <t>QC manager</t>
        </is>
      </c>
      <c r="H8" s="317" t="inlineStr">
        <is>
          <t>Production</t>
        </is>
      </c>
      <c r="I8" s="371" t="inlineStr">
        <is>
          <t>041 670 6654</t>
        </is>
      </c>
      <c r="J8" s="337" t="inlineStr">
        <is>
          <t>041 670 8002</t>
        </is>
      </c>
      <c r="K8" s="371" t="inlineStr">
        <is>
          <t>041 670 8848</t>
        </is>
      </c>
      <c r="L8" s="296" t="inlineStr">
        <is>
          <t>turner@example.com</t>
        </is>
      </c>
      <c r="M8" s="296" t="inlineStr">
        <is>
          <t>email,pdf</t>
        </is>
      </c>
      <c r="N8" s="296" t="n"/>
      <c r="O8" s="296" t="inlineStr">
        <is>
          <t>Permitted</t>
        </is>
      </c>
      <c r="P8" s="337" t="inlineStr">
        <is>
          <t>Cunningham rd 915</t>
        </is>
      </c>
      <c r="Q8" s="317" t="inlineStr">
        <is>
          <t>Cape Town</t>
        </is>
      </c>
      <c r="R8" s="317" t="inlineStr">
        <is>
          <t>Western Cape</t>
        </is>
      </c>
      <c r="S8" s="317" t="n">
        <v>8001</v>
      </c>
      <c r="T8" s="317" t="inlineStr">
        <is>
          <t>South Africa</t>
        </is>
      </c>
      <c r="U8" s="337" t="inlineStr">
        <is>
          <t>P.O. Box 1248</t>
        </is>
      </c>
      <c r="V8" s="317" t="inlineStr">
        <is>
          <t>Cape Town</t>
        </is>
      </c>
      <c r="W8" s="317" t="inlineStr">
        <is>
          <t>Western Cape</t>
        </is>
      </c>
      <c r="X8" s="317" t="n">
        <v>8001</v>
      </c>
      <c r="Y8" s="317" t="inlineStr">
        <is>
          <t>South Africa</t>
        </is>
      </c>
      <c r="Z8" s="317" t="n"/>
      <c r="AA8" s="317" t="n"/>
      <c r="AB8" s="317" t="n"/>
      <c r="AC8" s="317" t="n"/>
      <c r="AD8" s="317" t="n"/>
      <c r="AE8" s="317" t="n"/>
      <c r="AF8" s="317" t="n"/>
      <c r="AG8" s="317" t="n"/>
      <c r="AH8" s="317" t="n"/>
      <c r="AI8" s="317" t="n"/>
      <c r="AJ8" s="317" t="n"/>
      <c r="AK8" s="317" t="n"/>
      <c r="AL8" s="317" t="n"/>
      <c r="AM8" s="317" t="n"/>
      <c r="AN8" s="317" t="n"/>
      <c r="AO8" s="317" t="n"/>
      <c r="AP8" s="317" t="n"/>
      <c r="AQ8" s="317" t="n"/>
      <c r="AR8" s="317" t="n"/>
    </row>
    <row r="9" ht="21" customHeight="1" s="290">
      <c r="A9" s="337" t="inlineStr">
        <is>
          <t>Coffee Bay</t>
        </is>
      </c>
      <c r="B9" s="337" t="inlineStr">
        <is>
          <t>Ms</t>
        </is>
      </c>
      <c r="C9" s="338" t="inlineStr">
        <is>
          <t>Ayo</t>
        </is>
      </c>
      <c r="D9" s="317" t="inlineStr">
        <is>
          <t>Adebayo</t>
        </is>
      </c>
      <c r="E9" s="317" t="inlineStr">
        <is>
          <t>ayo</t>
        </is>
      </c>
      <c r="F9" s="317" t="inlineStr">
        <is>
          <t>ayoad</t>
        </is>
      </c>
      <c r="G9" s="317" t="inlineStr">
        <is>
          <t>Controller</t>
        </is>
      </c>
      <c r="H9" s="317" t="inlineStr">
        <is>
          <t>Chemistry</t>
        </is>
      </c>
      <c r="I9" s="371" t="inlineStr">
        <is>
          <t>025 557 4204</t>
        </is>
      </c>
      <c r="J9" s="337" t="inlineStr">
        <is>
          <t>025 557 4531</t>
        </is>
      </c>
      <c r="K9" s="371" t="inlineStr">
        <is>
          <t>025 557 3131</t>
        </is>
      </c>
      <c r="L9" s="296" t="inlineStr">
        <is>
          <t>ruffian@example.com</t>
        </is>
      </c>
      <c r="M9" s="296" t="inlineStr">
        <is>
          <t>email,pdf</t>
        </is>
      </c>
      <c r="N9" s="296" t="n"/>
      <c r="O9" s="296" t="inlineStr">
        <is>
          <t>Permitted</t>
        </is>
      </c>
      <c r="P9" s="337" t="inlineStr">
        <is>
          <t>Kuilsriver ln 25</t>
        </is>
      </c>
      <c r="Q9" s="317" t="inlineStr">
        <is>
          <t>Cape Town</t>
        </is>
      </c>
      <c r="R9" s="317" t="inlineStr">
        <is>
          <t>Western Cape</t>
        </is>
      </c>
      <c r="S9" s="317" t="n">
        <v>8001</v>
      </c>
      <c r="T9" s="317" t="inlineStr">
        <is>
          <t>South Africa</t>
        </is>
      </c>
      <c r="U9" s="337" t="inlineStr">
        <is>
          <t>P.O. Box 1249</t>
        </is>
      </c>
      <c r="V9" s="317" t="inlineStr">
        <is>
          <t>Cape Town</t>
        </is>
      </c>
      <c r="W9" s="317" t="inlineStr">
        <is>
          <t>Western Cape</t>
        </is>
      </c>
      <c r="X9" s="317" t="n">
        <v>8001</v>
      </c>
      <c r="Y9" s="317" t="inlineStr">
        <is>
          <t>South Africa</t>
        </is>
      </c>
      <c r="Z9" s="317" t="n"/>
      <c r="AA9" s="317" t="n"/>
      <c r="AB9" s="317" t="n"/>
      <c r="AC9" s="317" t="n"/>
      <c r="AD9" s="317" t="n"/>
      <c r="AE9" s="317" t="n"/>
      <c r="AF9" s="317" t="n"/>
      <c r="AG9" s="317" t="n"/>
      <c r="AH9" s="317" t="n"/>
      <c r="AI9" s="317" t="n"/>
      <c r="AJ9" s="317" t="n"/>
      <c r="AK9" s="317" t="n"/>
      <c r="AL9" s="317" t="n"/>
      <c r="AM9" s="317" t="n"/>
      <c r="AN9" s="317" t="n"/>
      <c r="AO9" s="317" t="n"/>
      <c r="AP9" s="317" t="n"/>
      <c r="AQ9" s="317" t="n"/>
      <c r="AR9" s="317" t="n"/>
    </row>
    <row r="10" ht="21" customHeight="1" s="290">
      <c r="A10" s="337" t="inlineStr">
        <is>
          <t>Mandini Farms</t>
        </is>
      </c>
      <c r="B10" s="337" t="inlineStr">
        <is>
          <t>Mr</t>
        </is>
      </c>
      <c r="C10" s="338" t="inlineStr">
        <is>
          <t>Andre</t>
        </is>
      </c>
      <c r="D10" s="317" t="inlineStr">
        <is>
          <t>Corbin</t>
        </is>
      </c>
      <c r="E10" s="317" t="inlineStr">
        <is>
          <t>andre</t>
        </is>
      </c>
      <c r="F10" s="317" t="inlineStr">
        <is>
          <t>andre</t>
        </is>
      </c>
      <c r="G10" s="317" t="inlineStr">
        <is>
          <t>Administrator</t>
        </is>
      </c>
      <c r="H10" s="317" t="inlineStr">
        <is>
          <t>R&amp;D</t>
        </is>
      </c>
      <c r="I10" s="371" t="inlineStr">
        <is>
          <t>032 586 5303</t>
        </is>
      </c>
      <c r="J10" s="337" t="inlineStr">
        <is>
          <t>032 586 6331</t>
        </is>
      </c>
      <c r="K10" s="371" t="inlineStr">
        <is>
          <t>032 586 5622</t>
        </is>
      </c>
      <c r="L10" s="296" t="inlineStr">
        <is>
          <t>corbin@example.com</t>
        </is>
      </c>
      <c r="M10" s="296" t="inlineStr">
        <is>
          <t>email,pdf</t>
        </is>
      </c>
      <c r="N10" s="296" t="n"/>
      <c r="O10" s="296" t="inlineStr">
        <is>
          <t>Permitted</t>
        </is>
      </c>
      <c r="P10" s="337" t="inlineStr">
        <is>
          <t>Lightholm ave 617</t>
        </is>
      </c>
      <c r="Q10" s="317" t="inlineStr">
        <is>
          <t>Cape Town</t>
        </is>
      </c>
      <c r="R10" s="317" t="inlineStr">
        <is>
          <t>Western Cape</t>
        </is>
      </c>
      <c r="S10" s="317" t="n">
        <v>8001</v>
      </c>
      <c r="T10" s="317" t="inlineStr">
        <is>
          <t>South Africa</t>
        </is>
      </c>
      <c r="U10" s="337" t="inlineStr">
        <is>
          <t>P.O. Box 1250</t>
        </is>
      </c>
      <c r="V10" s="317" t="inlineStr">
        <is>
          <t>Cape Town</t>
        </is>
      </c>
      <c r="W10" s="317" t="inlineStr">
        <is>
          <t>Western Cape</t>
        </is>
      </c>
      <c r="X10" s="317" t="n">
        <v>8001</v>
      </c>
      <c r="Y10" s="317" t="inlineStr">
        <is>
          <t>South Africa</t>
        </is>
      </c>
      <c r="Z10" s="317" t="n"/>
      <c r="AA10" s="317" t="n"/>
      <c r="AB10" s="317" t="n"/>
      <c r="AC10" s="317" t="n"/>
      <c r="AD10" s="317" t="n"/>
      <c r="AE10" s="317" t="n"/>
      <c r="AF10" s="317" t="n"/>
      <c r="AG10" s="317" t="n"/>
      <c r="AH10" s="317" t="n"/>
      <c r="AI10" s="317" t="n"/>
      <c r="AJ10" s="317" t="n"/>
      <c r="AK10" s="317" t="n"/>
      <c r="AL10" s="317" t="n"/>
      <c r="AM10" s="317" t="n"/>
      <c r="AN10" s="317" t="n"/>
      <c r="AO10" s="317" t="n"/>
      <c r="AP10" s="317" t="n"/>
      <c r="AQ10" s="317" t="n"/>
      <c r="AR10" s="317" t="n"/>
    </row>
  </sheetData>
  <mergeCells count="5">
    <mergeCell ref="B2:C2"/>
    <mergeCell ref="I2:K2"/>
    <mergeCell ref="U2:Y2"/>
    <mergeCell ref="P2:T2"/>
    <mergeCell ref="M2:O2"/>
  </mergeCells>
  <conditionalFormatting sqref="A1:AR1">
    <cfRule type="expression" rank="0" priority="2" equalAverage="0" aboveAverage="0" dxfId="0" text="" percent="0" bottom="0">
      <formula>LEN(TRIM(A1))=0</formula>
    </cfRule>
  </conditionalFormatting>
  <conditionalFormatting sqref="A4:A10">
    <cfRule type="expression" rank="0" priority="3" equalAverage="0" aboveAverage="0" dxfId="2" text="" percent="0" bottom="0">
      <formula>NOT(COUNTIF(INDIRECT("Clients!"&amp;"A$4:A"),A4)&gt;0)*NOT(ISBLANK(A4))</formula>
    </cfRule>
  </conditionalFormatting>
  <dataValidations count="4">
    <dataValidation sqref="A4:A10" showDropDown="0" showInputMessage="1" showErrorMessage="1" allowBlank="1" prompt="Click and enter a value from range Clients!A4:A44" type="list" errorStyle="stop" operator="equal">
      <formula1>Clients!$A$4:$A10</formula1>
      <formula2>0</formula2>
    </dataValidation>
    <dataValidation sqref="B4:B10" showDropDown="0" showInputMessage="0" showErrorMessage="1" allowBlank="1" type="list" errorStyle="stop" operator="equal">
      <formula1>Constants!$A$14:$A$25</formula1>
      <formula2>0</formula2>
    </dataValidation>
    <dataValidation sqref="M4:M10" showDropDown="0" showInputMessage="1" showErrorMessage="1" allowBlank="1" prompt="Click and enter a value from range Constants!H2:H10" type="list" errorStyle="stop" operator="equal">
      <formula1>Constants!$H$3:$H$11</formula1>
      <formula2>0</formula2>
    </dataValidation>
    <dataValidation sqref="T4:T10 Y4:Y10" showDropDown="0" showInputMessage="0" showErrorMessage="0" allowBlank="1" type="list" errorStyle="stop" operator="equal">
      <formula1>'Countries, Currencies'!$B$3:$B$251</formula1>
      <formula2>0</formula2>
    </dataValidation>
  </dataValidations>
  <printOptions horizontalCentered="1" verticalCentered="0" headings="0" gridLines="1" gridLinesSet="1"/>
  <pageMargins left="0.7" right="0.7" top="0.75" bottom="0.75" header="0.511811023622047" footer="0.511811023622047"/>
  <pageSetup orientation="portrait" paperSize="9" scale="100" fitToHeight="0" fitToWidth="1" pageOrder="overThenDown" blackAndWhite="0" draft="0" horizontalDpi="300" verticalDpi="300" copies="1"/>
</worksheet>
</file>

<file path=xl/worksheets/sheet8.xml><?xml version="1.0" encoding="utf-8"?>
<worksheet xmlns="http://schemas.openxmlformats.org/spreadsheetml/2006/main">
  <sheetPr filterMode="0">
    <tabColor rgb="FF5DD727"/>
    <outlinePr summaryBelow="1" summaryRight="1"/>
    <pageSetUpPr fitToPage="0"/>
  </sheetPr>
  <dimension ref="A1:C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9.87" customWidth="1" style="289" min="1" max="1"/>
    <col width="50.52" customWidth="1" style="289" min="2" max="2"/>
    <col width="28.34" customWidth="1" style="289" min="3" max="3"/>
    <col width="12.72" customWidth="1" style="289" min="4" max="1024"/>
  </cols>
  <sheetData>
    <row r="1" hidden="1" ht="24.75" customHeight="1" s="290">
      <c r="A1" s="303" t="inlineStr">
        <is>
          <t>title</t>
        </is>
      </c>
      <c r="B1" s="303" t="inlineStr">
        <is>
          <t>description</t>
        </is>
      </c>
      <c r="C1" s="303" t="n"/>
    </row>
    <row r="2" ht="37.5" customHeight="1" s="290">
      <c r="A2" s="343" t="inlineStr">
        <is>
          <t>Attachment Types</t>
        </is>
      </c>
      <c r="B2" s="327" t="n"/>
      <c r="C2" s="373">
        <f>HYPERLINK("https://www.bikalabs.com","Creative Commons BYSA
Bika Lab Systems")</f>
        <v/>
      </c>
    </row>
    <row r="3" ht="24" customHeight="1" s="290">
      <c r="A3" s="334" t="inlineStr">
        <is>
          <t>⭐ Title</t>
        </is>
      </c>
      <c r="B3" s="334" t="inlineStr">
        <is>
          <t>Description</t>
        </is>
      </c>
      <c r="C3" s="311" t="n"/>
    </row>
    <row r="4" ht="21" customHeight="1" s="290">
      <c r="A4" s="340" t="inlineStr">
        <is>
          <t>Calibration certificate</t>
        </is>
      </c>
      <c r="B4" s="340" t="inlineStr">
        <is>
          <t>Certificate issued by service provider</t>
        </is>
      </c>
      <c r="C4" s="317" t="n"/>
    </row>
    <row r="5" ht="21" customHeight="1" s="290">
      <c r="A5" s="340" t="inlineStr">
        <is>
          <t>Electron Microscope Image</t>
        </is>
      </c>
      <c r="B5" s="340" t="inlineStr">
        <is>
          <t>Electron scanning photo</t>
        </is>
      </c>
      <c r="C5" s="317" t="n"/>
    </row>
    <row r="6" ht="21" customHeight="1" s="290">
      <c r="A6" s="341" t="inlineStr">
        <is>
          <t>Image</t>
        </is>
      </c>
      <c r="B6" s="341" t="n"/>
      <c r="C6" s="317" t="n"/>
    </row>
    <row r="7" ht="21" customHeight="1" s="290">
      <c r="A7" s="341" t="inlineStr">
        <is>
          <t>Instrument Manual</t>
        </is>
      </c>
      <c r="B7" s="341" t="inlineStr">
        <is>
          <t>DIgital User and Interface manual</t>
        </is>
      </c>
      <c r="C7" s="317" t="n"/>
    </row>
    <row r="8" ht="21" customHeight="1" s="290">
      <c r="A8" s="341" t="inlineStr">
        <is>
          <t>Maintenance/ intervention report</t>
        </is>
      </c>
      <c r="B8" s="341" t="inlineStr">
        <is>
          <t>For accreditation records, corrective and preventative actions taken</t>
        </is>
      </c>
      <c r="C8" s="317" t="n"/>
    </row>
    <row r="9" ht="21" customHeight="1" s="290">
      <c r="A9" s="340" t="inlineStr">
        <is>
          <t>Microscope Image</t>
        </is>
      </c>
      <c r="B9" s="340" t="inlineStr">
        <is>
          <t>Photo in visual range</t>
        </is>
      </c>
      <c r="C9" s="317" t="n"/>
    </row>
    <row r="10" ht="21" customHeight="1" s="290">
      <c r="A10" s="341" t="inlineStr">
        <is>
          <t>MSDS</t>
        </is>
      </c>
      <c r="B10" s="341" t="inlineStr">
        <is>
          <t>Material safety data sheet</t>
        </is>
      </c>
      <c r="C10" s="317" t="n"/>
    </row>
    <row r="11" ht="21" customHeight="1" s="290">
      <c r="A11" s="341" t="inlineStr">
        <is>
          <t>Raw Data</t>
        </is>
      </c>
      <c r="B11" s="341" t="inlineStr">
        <is>
          <t>CSV etc.</t>
        </is>
      </c>
      <c r="C11" s="317" t="n"/>
    </row>
    <row r="12" ht="21" customHeight="1" s="290">
      <c r="A12" s="341" t="inlineStr">
        <is>
          <t>Report</t>
        </is>
      </c>
      <c r="B12" s="341" t="inlineStr">
        <is>
          <t>Results Interpretations, etc.</t>
        </is>
      </c>
      <c r="C12" s="317" t="inlineStr">
        <is>
          <t> </t>
        </is>
      </c>
    </row>
    <row r="13" ht="21" customHeight="1" s="290">
      <c r="A13" s="340" t="inlineStr">
        <is>
          <t>Sample Image</t>
        </is>
      </c>
      <c r="B13" s="340" t="inlineStr">
        <is>
          <t>Photo</t>
        </is>
      </c>
      <c r="C13" s="317" t="n"/>
    </row>
    <row r="14" ht="21" customHeight="1" s="290">
      <c r="A14" s="340" t="inlineStr">
        <is>
          <t>SOP</t>
        </is>
      </c>
      <c r="B14" s="340" t="inlineStr">
        <is>
          <t>Standard operating prcedure</t>
        </is>
      </c>
      <c r="C14" s="317" t="n"/>
    </row>
  </sheetData>
  <conditionalFormatting sqref="A1:C1">
    <cfRule type="expression" rank="0" priority="2" equalAverage="0" aboveAverage="0" dxfId="0" text="" percent="0" bottom="0">
      <formula>LEN(TRIM(A1))=0</formula>
    </cfRule>
  </conditionalFormatting>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999999"/>
    <outlinePr summaryBelow="1" summaryRight="1"/>
    <pageSetUpPr fitToPage="0"/>
  </sheetPr>
  <dimension ref="A1:C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5.32" customWidth="1" style="289" min="1" max="1"/>
    <col width="44.09" customWidth="1" style="289" min="2" max="2"/>
    <col width="26.08" customWidth="1" style="289" min="3" max="3"/>
    <col width="12.72" customWidth="1" style="289" min="4" max="1024"/>
  </cols>
  <sheetData>
    <row r="1" hidden="1" ht="24.75" customHeight="1" s="290">
      <c r="A1" s="303" t="inlineStr">
        <is>
          <t>title</t>
        </is>
      </c>
      <c r="B1" s="303" t="inlineStr">
        <is>
          <t>description</t>
        </is>
      </c>
      <c r="C1" s="303" t="n"/>
    </row>
    <row r="2" ht="37.5" customHeight="1" s="290">
      <c r="A2" s="343">
        <f>HYPERLINK("https://www.bikalims.org/manual/setup-and-configuration/sample-points-and-types","Container Types")</f>
        <v/>
      </c>
      <c r="B2" s="374" t="inlineStr">
        <is>
          <t>Used to group classes of containers together</t>
        </is>
      </c>
      <c r="C2" s="375">
        <f>HYPERLINK("https://www.bikalabs.com","Creative Commons BYSA
Bika Lab Systems")</f>
        <v/>
      </c>
    </row>
    <row r="3" ht="24" customHeight="1" s="290">
      <c r="A3" s="376" t="inlineStr">
        <is>
          <t>⭐ Title</t>
        </is>
      </c>
      <c r="B3" s="376" t="inlineStr">
        <is>
          <t>Description</t>
        </is>
      </c>
      <c r="C3" s="377" t="n"/>
    </row>
    <row r="4" ht="21" customHeight="1" s="290">
      <c r="A4" s="359" t="inlineStr">
        <is>
          <t>Basic Sampling Kit</t>
        </is>
      </c>
      <c r="B4" s="359" t="n"/>
      <c r="C4" s="359" t="n"/>
    </row>
    <row r="5" ht="21" customHeight="1" s="290">
      <c r="A5" s="359" t="inlineStr">
        <is>
          <t>Borehole Sampling Kit</t>
        </is>
      </c>
      <c r="B5" s="359" t="n"/>
      <c r="C5" s="359" t="n"/>
    </row>
    <row r="6" ht="21" customHeight="1" s="290">
      <c r="A6" s="378" t="inlineStr">
        <is>
          <t>Glass Bottle</t>
        </is>
      </c>
      <c r="B6" s="379" t="inlineStr">
        <is>
          <t>Various types of glass bottle</t>
        </is>
      </c>
      <c r="C6" s="359" t="n"/>
    </row>
    <row r="7" ht="21" customHeight="1" s="290">
      <c r="A7" s="378" t="inlineStr">
        <is>
          <t>Plastic Bottle</t>
        </is>
      </c>
      <c r="B7" s="379" t="inlineStr">
        <is>
          <t>Various types of plastic bottles</t>
        </is>
      </c>
      <c r="C7" s="359" t="n"/>
    </row>
    <row r="8" ht="21" customHeight="1" s="290">
      <c r="A8" s="378" t="inlineStr">
        <is>
          <t>Plastic Ziplock</t>
        </is>
      </c>
      <c r="B8" s="379" t="inlineStr">
        <is>
          <t>Plastic Ziplock bag</t>
        </is>
      </c>
      <c r="C8" s="359" t="n"/>
    </row>
  </sheetData>
  <conditionalFormatting sqref="A1:C1">
    <cfRule type="expression" rank="0" priority="2" equalAverage="0" aboveAverage="0" dxfId="0" text="" percent="0" bottom="0">
      <formula>LEN(TRIM(A1))=0</formula>
    </cfRule>
  </conditionalFormatting>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00FF00"/>
    <outlinePr summaryBelow="1" summaryRight="1"/>
    <pageSetUpPr fitToPage="1"/>
  </sheetPr>
  <dimension ref="A1:F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9.48" customWidth="1" style="289" min="1" max="1"/>
    <col width="56.45" customWidth="1" style="289" min="2" max="2"/>
    <col width="10.46" customWidth="1" style="289" min="3" max="4"/>
    <col width="13.99" customWidth="1" style="289" min="5" max="5"/>
    <col width="20.29" customWidth="1" style="289" min="6" max="6"/>
    <col width="12.72" customWidth="1" style="289" min="7" max="1024"/>
  </cols>
  <sheetData>
    <row r="1" hidden="1" ht="19.5" customHeight="1" s="290">
      <c r="A1" s="303" t="inlineStr">
        <is>
          <t>title</t>
        </is>
      </c>
      <c r="B1" s="380" t="inlineStr">
        <is>
          <t>description</t>
        </is>
      </c>
      <c r="C1" s="303" t="n"/>
      <c r="D1" s="303" t="n"/>
      <c r="E1" s="303" t="n"/>
      <c r="F1" s="324" t="n"/>
    </row>
    <row r="2" ht="33" customHeight="1" s="290">
      <c r="A2" s="325" t="inlineStr">
        <is>
          <t>Preservation</t>
        </is>
      </c>
      <c r="B2" s="347" t="inlineStr">
        <is>
          <t>Can be used in pr-preserved sample containers, or when samples are received</t>
        </is>
      </c>
      <c r="C2" s="356" t="n"/>
      <c r="D2" s="331" t="n"/>
      <c r="E2" s="332" t="n"/>
      <c r="F2" s="381" t="inlineStr">
        <is>
          <t>Creative Commons BYSA
Bika Lab Systems</t>
        </is>
      </c>
    </row>
    <row r="3" ht="24" customHeight="1" s="290">
      <c r="A3" s="334" t="inlineStr">
        <is>
          <t>⭐ Title</t>
        </is>
      </c>
      <c r="B3" s="356" t="inlineStr">
        <is>
          <t>Description</t>
        </is>
      </c>
      <c r="C3" s="334" t="n"/>
      <c r="D3" s="334" t="n"/>
      <c r="E3" s="334" t="n"/>
      <c r="F3" s="310" t="n"/>
    </row>
    <row r="4" ht="21" customHeight="1" s="290">
      <c r="A4" s="382" t="inlineStr">
        <is>
          <t>Chill 4 deg C</t>
        </is>
      </c>
      <c r="B4" s="341" t="inlineStr">
        <is>
          <t>Chill sample to 3  - 8 deg C</t>
        </is>
      </c>
      <c r="C4" s="339" t="n"/>
      <c r="D4" s="339" t="n"/>
      <c r="E4" s="339" t="n"/>
      <c r="F4" s="383" t="n"/>
    </row>
    <row r="5" ht="21" customHeight="1" s="290">
      <c r="A5" s="382" t="inlineStr">
        <is>
          <t>Freeze</t>
        </is>
      </c>
      <c r="B5" s="341" t="inlineStr">
        <is>
          <t>Freeze sample to &lt; 18 deg C</t>
        </is>
      </c>
      <c r="C5" s="339" t="n"/>
      <c r="D5" s="339" t="n"/>
      <c r="E5" s="339" t="n"/>
      <c r="F5" s="383" t="n"/>
    </row>
    <row r="6" ht="21" customHeight="1" s="290">
      <c r="A6" s="382" t="inlineStr">
        <is>
          <t>H2SO4</t>
        </is>
      </c>
      <c r="B6" s="341" t="inlineStr">
        <is>
          <t>Add conc. H2SO4 pH &lt; 2, refrigerate to &lt; 6 deg C</t>
        </is>
      </c>
      <c r="C6" s="339" t="n"/>
      <c r="D6" s="339" t="n"/>
      <c r="E6" s="339" t="n"/>
      <c r="F6" s="383" t="n"/>
    </row>
    <row r="7" ht="21" customHeight="1" s="290">
      <c r="A7" s="382" t="inlineStr">
        <is>
          <t>HNO3</t>
        </is>
      </c>
      <c r="B7" s="341" t="inlineStr">
        <is>
          <t>Filter immediately, add conc. HNO3 to pH &lt; 2, refrigerate to &lt; 6 deg C</t>
        </is>
      </c>
      <c r="C7" s="339" t="n"/>
      <c r="D7" s="339" t="n"/>
      <c r="E7" s="339" t="n"/>
      <c r="F7" s="359" t="n"/>
    </row>
    <row r="8" ht="21" customHeight="1" s="290">
      <c r="A8" s="340" t="inlineStr">
        <is>
          <t>Na2S2O3</t>
        </is>
      </c>
      <c r="B8" s="341" t="inlineStr">
        <is>
          <t>Micro Na2S2O3 Chill 4 deg C</t>
        </is>
      </c>
      <c r="C8" s="339" t="n"/>
      <c r="D8" s="339" t="n"/>
      <c r="E8" s="339" t="n"/>
      <c r="F8" s="359" t="n"/>
    </row>
    <row r="9" ht="21" customHeight="1" s="290">
      <c r="A9" s="382" t="inlineStr">
        <is>
          <t>Room temperature</t>
        </is>
      </c>
      <c r="B9" s="341" t="inlineStr">
        <is>
          <t>Dry food and feeds, Fertilizer, Milk Powder</t>
        </is>
      </c>
      <c r="C9" s="339" t="n"/>
      <c r="D9" s="339" t="n"/>
      <c r="E9" s="339" t="n"/>
      <c r="F9" s="359" t="n"/>
    </row>
  </sheetData>
  <mergeCells count="1">
    <mergeCell ref="C2:E2"/>
  </mergeCells>
  <conditionalFormatting sqref="A1:F1">
    <cfRule type="expression" rank="0" priority="2" equalAverage="0" aboveAverage="0" dxfId="0" text="" percent="0" bottom="0">
      <formula>LEN(TRIM(A1))=0</formula>
    </cfRule>
  </conditionalFormatting>
  <dataValidations count="3">
    <dataValidation sqref="C4:C9" showDropDown="0" showInputMessage="1" showErrorMessage="1" allowBlank="1" prompt="Valid entries - Please enter a whole number greater than or equal to 0" type="decimal" errorStyle="stop" operator="greaterThanOrEqual">
      <formula1>0</formula1>
      <formula2>0</formula2>
    </dataValidation>
    <dataValidation sqref="D4:D9" showDropDown="0" showInputMessage="1" showErrorMessage="1" allowBlank="1" prompt="Valid entries - Please enter a whole number between 0 and 23" type="decimal" errorStyle="stop" operator="between">
      <formula1>0</formula1>
      <formula2>23</formula2>
    </dataValidation>
    <dataValidation sqref="E4:E9" showDropDown="0" showInputMessage="1" showErrorMessage="1" allowBlank="1" prompt="Valid entries - Please enter a whole number between 0 and 59" type="decimal" errorStyle="stop" operator="between">
      <formula1>0</formula1>
      <formula2>59</formula2>
    </dataValidation>
  </dataValidations>
  <printOptions horizontalCentered="1" verticalCentered="0" headings="0" gridLines="1" gridLinesSet="1"/>
  <pageMargins left="0.7" right="0.7" top="0.75" bottom="0.75" header="0.511811023622047" footer="0.511811023622047"/>
  <pageSetup orientation="portrait" paperSize="1" scale="100" fitToHeight="0" fitToWidth="1" pageOrder="overThenDown" blackAndWhite="0" draft="0" horizontalDpi="300" verticalDpi="300" copies="1"/>
</worksheet>
</file>

<file path=xl/worksheets/sheet11.xml><?xml version="1.0" encoding="utf-8"?>
<worksheet xmlns="http://schemas.openxmlformats.org/spreadsheetml/2006/main">
  <sheetPr filterMode="0">
    <tabColor rgb="FF5DD727"/>
    <outlinePr summaryBelow="1" summaryRight="1"/>
    <pageSetUpPr fitToPage="1"/>
  </sheetPr>
  <dimension ref="A1:G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4.95" customWidth="1" style="289" min="1" max="1"/>
    <col width="18.14" customWidth="1" style="289" min="2" max="2"/>
    <col width="11.84" customWidth="1" style="289" min="3" max="3"/>
    <col width="18.52" customWidth="1" style="289" min="4" max="4"/>
    <col width="13.35" customWidth="1" style="289" min="5" max="5"/>
    <col width="26.46" customWidth="1" style="289" min="6" max="6"/>
    <col width="23.55" customWidth="1" style="289" min="7" max="7"/>
    <col width="12.72" customWidth="1" style="289" min="8" max="1024"/>
  </cols>
  <sheetData>
    <row r="1" hidden="1" ht="23.25" customHeight="1" s="290">
      <c r="A1" s="303" t="inlineStr">
        <is>
          <t>title</t>
        </is>
      </c>
      <c r="B1" s="303" t="inlineStr">
        <is>
          <t>description</t>
        </is>
      </c>
      <c r="C1" s="303" t="inlineStr">
        <is>
          <t>Capacity</t>
        </is>
      </c>
      <c r="D1" s="303" t="inlineStr">
        <is>
          <t>ContainerType_title</t>
        </is>
      </c>
      <c r="E1" s="303" t="inlineStr">
        <is>
          <t>PrePreserved</t>
        </is>
      </c>
      <c r="F1" s="384" t="inlineStr">
        <is>
          <t>Preservation_title</t>
        </is>
      </c>
      <c r="G1" s="303" t="n"/>
    </row>
    <row r="2" ht="33" customHeight="1" s="290">
      <c r="A2" s="343">
        <f>HYPERLINK("https://www.bikalims.org/manual/setup-and-configuration/sample-points-and-types","Sample Containers")</f>
        <v/>
      </c>
      <c r="B2" s="385" t="n"/>
      <c r="C2" s="386" t="n"/>
      <c r="D2" s="326" t="n"/>
      <c r="E2" s="326" t="n"/>
      <c r="F2" s="327" t="n"/>
      <c r="G2" s="307">
        <f>HYPERLINK("https://www.bikalabs.com","Creative Commons BYSA
Bika Lab Systems")</f>
        <v/>
      </c>
    </row>
    <row r="3" ht="28.5" customHeight="1" s="290">
      <c r="A3" s="387" t="inlineStr">
        <is>
          <t>⭐ Title</t>
        </is>
      </c>
      <c r="B3" s="387" t="inlineStr">
        <is>
          <t>Description</t>
        </is>
      </c>
      <c r="C3" s="387" t="inlineStr">
        <is>
          <t>Capacity</t>
        </is>
      </c>
      <c r="D3" s="387" t="inlineStr">
        <is>
          <t>Container type title</t>
        </is>
      </c>
      <c r="E3" s="387" t="inlineStr">
        <is>
          <t>Pre-preserved?</t>
        </is>
      </c>
      <c r="F3" s="387" t="inlineStr">
        <is>
          <t>Preservation title</t>
        </is>
      </c>
      <c r="G3" s="388" t="n"/>
    </row>
    <row r="4" ht="21" customHeight="1" s="290">
      <c r="A4" s="379" t="inlineStr">
        <is>
          <t>Chem Bottle - 1 L</t>
        </is>
      </c>
      <c r="B4" s="389" t="n"/>
      <c r="C4" s="360" t="inlineStr">
        <is>
          <t>1 L</t>
        </is>
      </c>
      <c r="D4" s="359" t="inlineStr">
        <is>
          <t>Plastic Bottle</t>
        </is>
      </c>
      <c r="E4" s="360" t="n">
        <v>0</v>
      </c>
      <c r="F4" s="360" t="n"/>
      <c r="G4" s="390" t="n"/>
    </row>
    <row r="5" ht="21" customHeight="1" s="290">
      <c r="A5" s="379" t="inlineStr">
        <is>
          <t>Chem Bottle - 250 mL</t>
        </is>
      </c>
      <c r="B5" s="389" t="n"/>
      <c r="C5" s="360" t="inlineStr">
        <is>
          <t>250  mL</t>
        </is>
      </c>
      <c r="D5" s="359" t="inlineStr">
        <is>
          <t>Plastic Bottle</t>
        </is>
      </c>
      <c r="E5" s="360" t="n">
        <v>0</v>
      </c>
      <c r="F5" s="360" t="n"/>
      <c r="G5" s="390" t="n"/>
    </row>
    <row r="6" ht="21" customHeight="1" s="290">
      <c r="A6" s="391" t="inlineStr">
        <is>
          <t>Micro bottle - 1 L</t>
        </is>
      </c>
      <c r="B6" s="389" t="n"/>
      <c r="C6" s="360" t="inlineStr">
        <is>
          <t>1 L</t>
        </is>
      </c>
      <c r="D6" s="359" t="inlineStr">
        <is>
          <t>Plastic Bottle</t>
        </is>
      </c>
      <c r="E6" s="360" t="n">
        <v>1</v>
      </c>
      <c r="F6" s="360" t="inlineStr">
        <is>
          <t>Chill 4 deg C</t>
        </is>
      </c>
      <c r="G6" s="390" t="n"/>
    </row>
    <row r="7" ht="21" customHeight="1" s="290">
      <c r="A7" s="391" t="inlineStr">
        <is>
          <t>Micro bottle - 500 mL</t>
        </is>
      </c>
      <c r="B7" s="389" t="n"/>
      <c r="C7" s="360" t="inlineStr">
        <is>
          <t>500  mL</t>
        </is>
      </c>
      <c r="D7" s="359" t="inlineStr">
        <is>
          <t>Plastic Bottle</t>
        </is>
      </c>
      <c r="E7" s="360" t="n">
        <v>1</v>
      </c>
      <c r="F7" s="360" t="inlineStr">
        <is>
          <t>Chill 4 deg C</t>
        </is>
      </c>
      <c r="G7" s="359" t="n"/>
    </row>
    <row r="8" ht="21" customHeight="1" s="290">
      <c r="A8" s="391" t="inlineStr">
        <is>
          <t>Micro Na2S2O3 bottle - 1 L</t>
        </is>
      </c>
      <c r="B8" s="389" t="n"/>
      <c r="C8" s="360" t="inlineStr">
        <is>
          <t>1 L</t>
        </is>
      </c>
      <c r="D8" s="359" t="inlineStr">
        <is>
          <t>Plastic Bottle</t>
        </is>
      </c>
      <c r="E8" s="360" t="n">
        <v>1</v>
      </c>
      <c r="F8" s="360" t="inlineStr">
        <is>
          <t>Na2S2O3</t>
        </is>
      </c>
      <c r="G8" s="359" t="n"/>
    </row>
    <row r="9" ht="21" customHeight="1" s="290">
      <c r="A9" s="391" t="inlineStr">
        <is>
          <t>Micro Na2S2O3 bottle - 500 mL</t>
        </is>
      </c>
      <c r="B9" s="389" t="n"/>
      <c r="C9" s="360" t="inlineStr">
        <is>
          <t>500  mL</t>
        </is>
      </c>
      <c r="D9" s="359" t="inlineStr">
        <is>
          <t>Plastic Bottle</t>
        </is>
      </c>
      <c r="E9" s="360" t="n">
        <v>1</v>
      </c>
      <c r="F9" s="360" t="inlineStr">
        <is>
          <t>Na2S2O3</t>
        </is>
      </c>
      <c r="G9" s="359" t="n"/>
    </row>
    <row r="10" ht="21" customHeight="1" s="290">
      <c r="A10" s="389" t="inlineStr">
        <is>
          <t>Basic Sample Kit</t>
        </is>
      </c>
      <c r="B10" s="389" t="inlineStr">
        <is>
          <t>120mL Idexx Sample vessel + 500mL chemistry bottle</t>
        </is>
      </c>
      <c r="C10" s="360" t="inlineStr">
        <is>
          <t>120ml + 500mL</t>
        </is>
      </c>
      <c r="D10" s="360" t="inlineStr">
        <is>
          <t>Basic Sampling Kit</t>
        </is>
      </c>
      <c r="E10" s="360" t="n">
        <v>1</v>
      </c>
      <c r="F10" s="360" t="inlineStr">
        <is>
          <t>Chill 4 deg C</t>
        </is>
      </c>
      <c r="G10" s="359" t="n"/>
    </row>
    <row r="11" ht="21" customHeight="1" s="290">
      <c r="A11" s="389" t="inlineStr">
        <is>
          <t>Borehole Sample Kit</t>
        </is>
      </c>
      <c r="B11" s="359" t="inlineStr">
        <is>
          <t>100mL Glass micro + 500mL chemistry bottle</t>
        </is>
      </c>
      <c r="C11" s="360" t="inlineStr">
        <is>
          <t>100ml + 500mL</t>
        </is>
      </c>
      <c r="D11" s="360" t="inlineStr">
        <is>
          <t>Borehole Sampling Kit</t>
        </is>
      </c>
      <c r="E11" s="360" t="n">
        <v>1</v>
      </c>
      <c r="F11" s="360" t="inlineStr">
        <is>
          <t>Chill 4 deg C</t>
        </is>
      </c>
      <c r="G11" s="359" t="n"/>
    </row>
  </sheetData>
  <conditionalFormatting sqref="A1:G1">
    <cfRule type="expression" rank="0" priority="2" equalAverage="0" aboveAverage="0" dxfId="0" text="" percent="0" bottom="0">
      <formula>LEN(TRIM(A1))=0</formula>
    </cfRule>
  </conditionalFormatting>
  <conditionalFormatting sqref="D4:D11">
    <cfRule type="expression" rank="0" priority="3" equalAverage="0" aboveAverage="0" dxfId="0" text="" percent="0" bottom="0">
      <formula>NOT(COUNTIF(INDIRECT("Container Types!"&amp;"A$4:A"),D4)&gt;0)*NOT(ISBLANK(D4))</formula>
    </cfRule>
  </conditionalFormatting>
  <conditionalFormatting sqref="F4:F11">
    <cfRule type="expression" rank="0" priority="4" equalAverage="0" aboveAverage="0" dxfId="0" text="" percent="0" bottom="0">
      <formula>NOT(COUNTIF(INDIRECT("Preservations!"&amp;"A$4:A"),F4)&gt;0)*NOT(ISBLANK(F4))</formula>
    </cfRule>
  </conditionalFormatting>
  <dataValidations count="3">
    <dataValidation sqref="D4:D11" showDropDown="0" showInputMessage="1" showErrorMessage="1" allowBlank="1" prompt="Select a Container Type - Select a valid container type from the selection list. The list is maintained on the 'Container Types' sheet" type="list" errorStyle="stop" operator="equal">
      <formula1>'Container Types'!$A$4:$A11</formula1>
      <formula2>0</formula2>
    </dataValidation>
    <dataValidation sqref="E4:E11" showDropDown="0" showInputMessage="0" showErrorMessage="0" allowBlank="1" type="list" errorStyle="stop" operator="equal">
      <formula1>"0,1"</formula1>
      <formula2>0</formula2>
    </dataValidation>
    <dataValidation sqref="F4:F11" showDropDown="0" showInputMessage="0" showErrorMessage="0" allowBlank="1" type="list" errorStyle="stop" operator="equal">
      <formula1>Preservations!$A$4:$A11</formula1>
      <formula2>0</formula2>
    </dataValidation>
  </dataValidations>
  <printOptions horizontalCentered="1" verticalCentered="0" headings="0" gridLines="1" gridLinesSet="1"/>
  <pageMargins left="0.7" right="0.7" top="0.75" bottom="0.75" header="0.511811023622047" footer="0.511811023622047"/>
  <pageSetup orientation="portrait" paperSize="1" scale="100" fitToHeight="0" fitToWidth="1" pageOrder="overThenDown" blackAndWhite="0" draft="0" horizontalDpi="300" verticalDpi="300" copies="1"/>
</worksheet>
</file>

<file path=xl/worksheets/sheet12.xml><?xml version="1.0" encoding="utf-8"?>
<worksheet xmlns="http://schemas.openxmlformats.org/spreadsheetml/2006/main">
  <sheetPr filterMode="0">
    <tabColor rgb="FF5DD727"/>
    <outlinePr summaryBelow="1" summaryRight="1"/>
    <pageSetUpPr fitToPage="1"/>
  </sheetPr>
  <dimension ref="A1:L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7.08" customWidth="1" style="289" min="1" max="1"/>
    <col width="22.81" customWidth="1" style="289" min="2" max="2"/>
    <col hidden="1" outlineLevel="1" width="22.81" customWidth="1" style="289" min="3" max="4"/>
    <col width="22.81" customWidth="1" style="289" min="5" max="5"/>
    <col hidden="1" outlineLevel="1" width="22.81" customWidth="1" style="289" min="6" max="8"/>
    <col width="22.81" customWidth="1" style="289" min="9" max="9"/>
    <col hidden="1" outlineLevel="1" width="13.86" customWidth="1" style="289" min="10" max="10"/>
    <col hidden="1" outlineLevel="1" width="21.05" customWidth="1" style="289" min="11" max="11"/>
    <col width="22.17" customWidth="1" style="289" min="12" max="12"/>
    <col width="12.72" customWidth="1" style="289" min="13" max="1024"/>
  </cols>
  <sheetData>
    <row r="1" hidden="1" ht="19.5" customHeight="1" s="290">
      <c r="A1" s="303" t="inlineStr">
        <is>
          <t>Address</t>
        </is>
      </c>
      <c r="B1" s="303" t="inlineStr">
        <is>
          <t>SiteTitle</t>
        </is>
      </c>
      <c r="C1" s="303" t="inlineStr">
        <is>
          <t>SiteCode</t>
        </is>
      </c>
      <c r="D1" s="303" t="inlineStr">
        <is>
          <t>SiteDescription</t>
        </is>
      </c>
      <c r="E1" s="303" t="inlineStr">
        <is>
          <t>LocationTitle</t>
        </is>
      </c>
      <c r="F1" s="303" t="inlineStr">
        <is>
          <t>LocationCode</t>
        </is>
      </c>
      <c r="G1" s="303" t="inlineStr">
        <is>
          <t>LocationDescription</t>
        </is>
      </c>
      <c r="H1" s="303" t="inlineStr">
        <is>
          <t>LocationType</t>
        </is>
      </c>
      <c r="I1" s="303" t="inlineStr">
        <is>
          <t>ShelfTitle</t>
        </is>
      </c>
      <c r="J1" s="303" t="inlineStr">
        <is>
          <t>ShelfCode</t>
        </is>
      </c>
      <c r="K1" s="303" t="inlineStr">
        <is>
          <t>ShelfDescription</t>
        </is>
      </c>
      <c r="L1" s="303" t="n"/>
    </row>
    <row r="2" ht="37.5" customHeight="1" s="290">
      <c r="A2" s="343" t="inlineStr">
        <is>
          <t>Storage Locations</t>
        </is>
      </c>
      <c r="B2" s="354" t="inlineStr">
        <is>
          <t>Site</t>
        </is>
      </c>
      <c r="C2" s="331" t="n"/>
      <c r="D2" s="332" t="n"/>
      <c r="E2" s="354" t="inlineStr">
        <is>
          <t>Location</t>
        </is>
      </c>
      <c r="F2" s="331" t="n"/>
      <c r="G2" s="331" t="n"/>
      <c r="H2" s="332" t="n"/>
      <c r="I2" s="354" t="inlineStr">
        <is>
          <t>Shelf</t>
        </is>
      </c>
      <c r="J2" s="331" t="n"/>
      <c r="K2" s="332" t="n"/>
      <c r="L2" s="307">
        <f>HYPERLINK("https://www.bikalabs.com","Creative Commons BYSA
Bika Lab Systems")</f>
        <v/>
      </c>
    </row>
    <row r="3" ht="24" customHeight="1" s="290">
      <c r="A3" s="334" t="inlineStr">
        <is>
          <t>Address</t>
        </is>
      </c>
      <c r="B3" s="334" t="inlineStr">
        <is>
          <t>Site Title</t>
        </is>
      </c>
      <c r="C3" s="334" t="inlineStr">
        <is>
          <t>Site Code</t>
        </is>
      </c>
      <c r="D3" s="334" t="inlineStr">
        <is>
          <t>Site Description</t>
        </is>
      </c>
      <c r="E3" s="334" t="inlineStr">
        <is>
          <t>Location Title</t>
        </is>
      </c>
      <c r="F3" s="334" t="inlineStr">
        <is>
          <t>Location Code</t>
        </is>
      </c>
      <c r="G3" s="334" t="inlineStr">
        <is>
          <t>Location Description</t>
        </is>
      </c>
      <c r="H3" s="334" t="inlineStr">
        <is>
          <t>LocationType</t>
        </is>
      </c>
      <c r="I3" s="334" t="inlineStr">
        <is>
          <t>Shelf Title</t>
        </is>
      </c>
      <c r="J3" s="334" t="inlineStr">
        <is>
          <t>Shelf Code</t>
        </is>
      </c>
      <c r="K3" s="334" t="inlineStr">
        <is>
          <t>Shelf Description</t>
        </is>
      </c>
      <c r="L3" s="349" t="n"/>
    </row>
  </sheetData>
  <mergeCells count="3">
    <mergeCell ref="B2:D2"/>
    <mergeCell ref="E2:H2"/>
    <mergeCell ref="I2:K2"/>
  </mergeCells>
  <conditionalFormatting sqref="A1:L1">
    <cfRule type="expression" rank="0" priority="2" equalAverage="0" aboveAverage="0" dxfId="0" text="" percent="0" bottom="0">
      <formula>LEN(TRIM(A1))=0</formula>
    </cfRule>
  </conditionalFormatting>
  <printOptions horizontalCentered="1" verticalCentered="0" headings="0" gridLines="1" gridLinesSet="1"/>
  <pageMargins left="0.7" right="0.7" top="0.75" bottom="0.75" header="0.511811023622047" footer="0.511811023622047"/>
  <pageSetup orientation="landscape" paperSize="9" scale="100" fitToHeight="0" fitToWidth="1" pageOrder="overThenDown" blackAndWhite="0" draft="0" horizontalDpi="300" verticalDpi="300" copies="1"/>
</worksheet>
</file>

<file path=xl/worksheets/sheet13.xml><?xml version="1.0" encoding="utf-8"?>
<worksheet xmlns="http://schemas.openxmlformats.org/spreadsheetml/2006/main">
  <sheetPr filterMode="0">
    <tabColor rgb="FF5DD727"/>
    <outlinePr summaryBelow="1" summaryRight="1"/>
    <pageSetUpPr fitToPage="0"/>
  </sheetPr>
  <dimension ref="A1:C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6.34" customWidth="1" style="289" min="1" max="1"/>
    <col width="58.34" customWidth="1" style="289" min="2" max="2"/>
    <col width="22.81" customWidth="1" style="289" min="3" max="3"/>
    <col width="12.72" customWidth="1" style="289" min="4" max="1024"/>
  </cols>
  <sheetData>
    <row r="1" hidden="1" ht="23.25" customHeight="1" s="290">
      <c r="A1" s="303" t="inlineStr">
        <is>
          <t>title</t>
        </is>
      </c>
      <c r="B1" s="303" t="inlineStr">
        <is>
          <t>description</t>
        </is>
      </c>
      <c r="C1" s="303" t="n"/>
    </row>
    <row r="2" ht="33.75" customHeight="1" s="290">
      <c r="A2" s="343" t="inlineStr">
        <is>
          <t> </t>
        </is>
      </c>
      <c r="B2" s="392" t="inlineStr">
        <is>
          <t>Sample Type categories</t>
        </is>
      </c>
      <c r="C2" s="307">
        <f>HYPERLINK("https://www.bikalabs.com","Creative Commons BYSA
Bika Lab Systems")</f>
        <v/>
      </c>
    </row>
    <row r="3" ht="23.25" customHeight="1" s="290">
      <c r="A3" s="334" t="inlineStr">
        <is>
          <t>⭐ Title</t>
        </is>
      </c>
      <c r="B3" s="334" t="inlineStr">
        <is>
          <t>Description</t>
        </is>
      </c>
      <c r="C3" s="393" t="n"/>
    </row>
    <row r="4" ht="21" customHeight="1" s="290">
      <c r="A4" s="340" t="inlineStr">
        <is>
          <t>Air</t>
        </is>
      </c>
      <c r="B4" s="382" t="n"/>
      <c r="C4" s="317" t="n"/>
    </row>
    <row r="5" ht="21" customHeight="1" s="290">
      <c r="A5" s="340" t="inlineStr">
        <is>
          <t>Soil</t>
        </is>
      </c>
      <c r="B5" s="382" t="n"/>
      <c r="C5" s="317" t="n"/>
    </row>
    <row r="6" ht="21" customHeight="1" s="290">
      <c r="A6" s="382" t="inlineStr">
        <is>
          <t>Water</t>
        </is>
      </c>
      <c r="B6" s="340" t="n"/>
      <c r="C6" s="317" t="n"/>
    </row>
  </sheetData>
  <conditionalFormatting sqref="A1:C1">
    <cfRule type="expression" rank="0" priority="2" equalAverage="0" aboveAverage="0" dxfId="0" text="" percent="0" bottom="0">
      <formula>LEN(TRIM(A1))=0</formula>
    </cfRule>
  </conditionalFormatting>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tabColor rgb="FFFF0000"/>
    <outlinePr summaryBelow="1" summaryRight="1"/>
    <pageSetUpPr fitToPage="0"/>
  </sheetPr>
  <dimension ref="A1:I21"/>
  <sheetViews>
    <sheetView showFormulas="0" showGridLines="1" showRowColHeaders="1" showZeros="1" rightToLeft="0" tabSelected="0" showOutlineSymbols="1" defaultGridColor="1" view="normal" topLeftCell="A13" colorId="64" zoomScale="100" zoomScaleNormal="100" zoomScalePageLayoutView="100" workbookViewId="0">
      <selection pane="topLeft" activeCell="A4" activeCellId="1" sqref="AA:AA A4"/>
    </sheetView>
  </sheetViews>
  <sheetFormatPr baseColWidth="8" defaultColWidth="10.16015625" defaultRowHeight="15" zeroHeight="0" outlineLevelRow="0"/>
  <cols>
    <col width="23.18" customWidth="1" style="289" min="1" max="1"/>
    <col outlineLevel="1" width="24.95" customWidth="1" style="289" min="2" max="2"/>
    <col outlineLevel="1" width="9.960000000000001" customWidth="1" style="289" min="3" max="3"/>
    <col outlineLevel="1" width="11.84" customWidth="1" style="289" min="4" max="4"/>
    <col width="15.75" customWidth="1" style="289" min="5" max="5"/>
    <col width="13.48" customWidth="1" style="289" min="6" max="6"/>
    <col width="12.47" customWidth="1" style="289" min="7" max="7"/>
    <col width="18.02" customWidth="1" style="289" min="8" max="8"/>
    <col width="23.55" customWidth="1" style="289" min="9" max="9"/>
    <col width="12.72" customWidth="1" style="289" min="10" max="1024"/>
  </cols>
  <sheetData>
    <row r="1" hidden="1" ht="27" customHeight="1" s="290">
      <c r="A1" s="350" t="inlineStr">
        <is>
          <t>title</t>
        </is>
      </c>
      <c r="B1" s="350" t="inlineStr">
        <is>
          <t>description</t>
        </is>
      </c>
      <c r="C1" s="324" t="inlineStr">
        <is>
          <t>RetentionPeriod</t>
        </is>
      </c>
      <c r="D1" s="324" t="inlineStr">
        <is>
          <t>Hazardous</t>
        </is>
      </c>
      <c r="E1" s="324" t="inlineStr">
        <is>
          <t>SampleMatrix_title</t>
        </is>
      </c>
      <c r="F1" s="324" t="inlineStr">
        <is>
          <t>Prefix</t>
        </is>
      </c>
      <c r="G1" s="324" t="inlineStr">
        <is>
          <t>MinimumVolume</t>
        </is>
      </c>
      <c r="H1" s="324" t="inlineStr">
        <is>
          <t>ContainerType_title</t>
        </is>
      </c>
      <c r="I1" s="303" t="n"/>
    </row>
    <row r="2" ht="30.75" customHeight="1" s="290">
      <c r="A2" s="394">
        <f>HYPERLINK("https://www.bikalims.org/manual/setup-and-configuration/sample-points-and-types","Sample Types")</f>
        <v/>
      </c>
      <c r="B2" s="327" t="n"/>
      <c r="C2" s="334" t="inlineStr">
        <is>
          <t>Retention period (days)</t>
        </is>
      </c>
      <c r="D2" s="334" t="inlineStr">
        <is>
          <t>Hazardous</t>
        </is>
      </c>
      <c r="E2" s="334" t="inlineStr">
        <is>
          <t>Sample matrix</t>
        </is>
      </c>
      <c r="F2" s="334" t="inlineStr">
        <is>
          <t>⭐ Prefix
Does not have to be unique</t>
        </is>
      </c>
      <c r="G2" s="334" t="inlineStr">
        <is>
          <t>⭐ Minimum volume or weight</t>
        </is>
      </c>
      <c r="H2" s="334" t="inlineStr">
        <is>
          <t>Container type</t>
        </is>
      </c>
      <c r="I2" s="307">
        <f>HYPERLINK("https://www.bikalabs.com","Creative Commons BYSA
Bika Lab Systems")</f>
        <v/>
      </c>
    </row>
    <row r="3" ht="20.25" customHeight="1" s="290">
      <c r="A3" s="335" t="inlineStr">
        <is>
          <t>⭐ Title</t>
        </is>
      </c>
      <c r="B3" s="335" t="inlineStr">
        <is>
          <t>Description</t>
        </is>
      </c>
      <c r="C3" s="395" t="n"/>
      <c r="D3" s="395" t="n"/>
      <c r="E3" s="395" t="n"/>
      <c r="F3" s="395" t="n"/>
      <c r="G3" s="395" t="n"/>
      <c r="H3" s="395" t="n"/>
      <c r="I3" s="349" t="n"/>
    </row>
    <row r="4" ht="21" customHeight="1" s="290">
      <c r="A4" s="389" t="inlineStr">
        <is>
          <t>Boiler Water</t>
        </is>
      </c>
      <c r="B4" s="389" t="n"/>
      <c r="C4" s="360" t="n">
        <v>31</v>
      </c>
      <c r="D4" s="360" t="n">
        <v>1</v>
      </c>
      <c r="E4" s="360" t="inlineStr">
        <is>
          <t>Water</t>
        </is>
      </c>
      <c r="F4" s="360" t="inlineStr">
        <is>
          <t>BLR</t>
        </is>
      </c>
      <c r="G4" s="360" t="inlineStr">
        <is>
          <t>250 mL</t>
        </is>
      </c>
      <c r="H4" s="360" t="inlineStr">
        <is>
          <t>Plastic Bottle</t>
        </is>
      </c>
      <c r="I4" s="360" t="n"/>
    </row>
    <row r="5" ht="21" customHeight="1" s="290">
      <c r="A5" s="389" t="inlineStr">
        <is>
          <t>Borehole Water</t>
        </is>
      </c>
      <c r="B5" s="389" t="n"/>
      <c r="C5" s="360" t="n">
        <v>31</v>
      </c>
      <c r="D5" s="360" t="n">
        <v>1</v>
      </c>
      <c r="E5" s="360" t="inlineStr">
        <is>
          <t>Water</t>
        </is>
      </c>
      <c r="F5" s="360" t="inlineStr">
        <is>
          <t>BHW</t>
        </is>
      </c>
      <c r="G5" s="360" t="inlineStr">
        <is>
          <t>250 mL</t>
        </is>
      </c>
      <c r="H5" s="360" t="inlineStr">
        <is>
          <t>Plastic Bottle</t>
        </is>
      </c>
      <c r="I5" s="360" t="n"/>
    </row>
    <row r="6" ht="21" customHeight="1" s="290">
      <c r="A6" s="389" t="inlineStr">
        <is>
          <t>Bottled water</t>
        </is>
      </c>
      <c r="B6" s="389" t="n"/>
      <c r="C6" s="360" t="n">
        <v>31</v>
      </c>
      <c r="D6" s="360" t="n">
        <v>1</v>
      </c>
      <c r="E6" s="360" t="inlineStr">
        <is>
          <t>Water</t>
        </is>
      </c>
      <c r="F6" s="360" t="inlineStr">
        <is>
          <t>BW</t>
        </is>
      </c>
      <c r="G6" s="360" t="inlineStr">
        <is>
          <t>250 mL</t>
        </is>
      </c>
      <c r="H6" s="360" t="inlineStr">
        <is>
          <t>Plastic Bottle</t>
        </is>
      </c>
      <c r="I6" s="360" t="n"/>
    </row>
    <row r="7" ht="21" customHeight="1" s="290">
      <c r="A7" s="389" t="inlineStr">
        <is>
          <t>Condenser Water</t>
        </is>
      </c>
      <c r="B7" s="389" t="n"/>
      <c r="C7" s="360" t="n">
        <v>30</v>
      </c>
      <c r="D7" s="360" t="n">
        <v>0</v>
      </c>
      <c r="E7" s="360" t="inlineStr">
        <is>
          <t>Water</t>
        </is>
      </c>
      <c r="F7" s="360" t="inlineStr">
        <is>
          <t>CDR</t>
        </is>
      </c>
      <c r="G7" s="360" t="inlineStr">
        <is>
          <t>250 mL</t>
        </is>
      </c>
      <c r="H7" s="360" t="inlineStr">
        <is>
          <t>Plastic Bottle</t>
        </is>
      </c>
      <c r="I7" s="360" t="n"/>
    </row>
    <row r="8" ht="21" customHeight="1" s="290">
      <c r="A8" s="389" t="inlineStr">
        <is>
          <t>Cooling System Water</t>
        </is>
      </c>
      <c r="B8" s="389" t="n"/>
      <c r="C8" s="360" t="n">
        <v>30</v>
      </c>
      <c r="D8" s="360" t="n">
        <v>0</v>
      </c>
      <c r="E8" s="360" t="inlineStr">
        <is>
          <t>Water</t>
        </is>
      </c>
      <c r="F8" s="360" t="inlineStr">
        <is>
          <t>CLS</t>
        </is>
      </c>
      <c r="G8" s="360" t="inlineStr">
        <is>
          <t>250 mL</t>
        </is>
      </c>
      <c r="H8" s="360" t="inlineStr">
        <is>
          <t>Plastic Bottle</t>
        </is>
      </c>
      <c r="I8" s="360" t="n"/>
    </row>
    <row r="9" ht="21" customHeight="1" s="290">
      <c r="A9" s="389" t="inlineStr">
        <is>
          <t>Drinking Water</t>
        </is>
      </c>
      <c r="B9" s="389" t="inlineStr">
        <is>
          <t>Potable water</t>
        </is>
      </c>
      <c r="C9" s="360" t="n">
        <v>30</v>
      </c>
      <c r="D9" s="360" t="n">
        <v>0</v>
      </c>
      <c r="E9" s="360" t="inlineStr">
        <is>
          <t>Water</t>
        </is>
      </c>
      <c r="F9" s="360" t="inlineStr">
        <is>
          <t>DWT</t>
        </is>
      </c>
      <c r="G9" s="360" t="inlineStr">
        <is>
          <t>250 mL</t>
        </is>
      </c>
      <c r="H9" s="360" t="inlineStr">
        <is>
          <t>Plastic Bottle</t>
        </is>
      </c>
      <c r="I9" s="360" t="n"/>
    </row>
    <row r="10" ht="21" customHeight="1" s="290">
      <c r="A10" s="389" t="inlineStr">
        <is>
          <t>Ground Water</t>
        </is>
      </c>
      <c r="B10" s="389" t="inlineStr">
        <is>
          <t>Boreholes, mines</t>
        </is>
      </c>
      <c r="C10" s="360" t="n">
        <v>30</v>
      </c>
      <c r="D10" s="360" t="n">
        <v>1</v>
      </c>
      <c r="E10" s="360" t="inlineStr">
        <is>
          <t>Water</t>
        </is>
      </c>
      <c r="F10" s="360" t="inlineStr">
        <is>
          <t>GWT</t>
        </is>
      </c>
      <c r="G10" s="360" t="inlineStr">
        <is>
          <t>250 mL</t>
        </is>
      </c>
      <c r="H10" s="360" t="inlineStr">
        <is>
          <t>Plastic Bottle</t>
        </is>
      </c>
      <c r="I10" s="360" t="n"/>
    </row>
    <row r="11" ht="21" customHeight="1" s="290">
      <c r="A11" s="389" t="inlineStr">
        <is>
          <t>Industrial Effluent</t>
        </is>
      </c>
      <c r="B11" s="389" t="n"/>
      <c r="C11" s="360" t="n">
        <v>30</v>
      </c>
      <c r="D11" s="360" t="n">
        <v>1</v>
      </c>
      <c r="E11" s="360" t="inlineStr">
        <is>
          <t>Water</t>
        </is>
      </c>
      <c r="F11" s="360" t="inlineStr">
        <is>
          <t>IDE</t>
        </is>
      </c>
      <c r="G11" s="360" t="inlineStr">
        <is>
          <t>250 mL</t>
        </is>
      </c>
      <c r="H11" s="360" t="inlineStr">
        <is>
          <t>Plastic Bottle</t>
        </is>
      </c>
      <c r="I11" s="360" t="n"/>
    </row>
    <row r="12" ht="21" customHeight="1" s="290">
      <c r="A12" s="389" t="inlineStr">
        <is>
          <t>Irrigation water</t>
        </is>
      </c>
      <c r="B12" s="389" t="n"/>
      <c r="C12" s="360" t="n">
        <v>30</v>
      </c>
      <c r="D12" s="360" t="n">
        <v>1</v>
      </c>
      <c r="E12" s="360" t="inlineStr">
        <is>
          <t>Water</t>
        </is>
      </c>
      <c r="F12" s="360" t="inlineStr">
        <is>
          <t>IW</t>
        </is>
      </c>
      <c r="G12" s="360" t="inlineStr">
        <is>
          <t>250 mL</t>
        </is>
      </c>
      <c r="H12" s="360" t="inlineStr">
        <is>
          <t>Plastic Bottle</t>
        </is>
      </c>
      <c r="I12" s="360" t="n"/>
    </row>
    <row r="13" ht="21" customHeight="1" s="290">
      <c r="A13" s="389" t="inlineStr">
        <is>
          <t>Other</t>
        </is>
      </c>
      <c r="B13" s="389" t="n"/>
      <c r="C13" s="360" t="n">
        <v>30</v>
      </c>
      <c r="D13" s="360" t="n">
        <v>1</v>
      </c>
      <c r="E13" s="360" t="inlineStr">
        <is>
          <t>Water</t>
        </is>
      </c>
      <c r="F13" s="360" t="inlineStr">
        <is>
          <t>O</t>
        </is>
      </c>
      <c r="G13" s="360" t="inlineStr">
        <is>
          <t>250 mL</t>
        </is>
      </c>
      <c r="H13" s="360" t="inlineStr">
        <is>
          <t>Plastic Bottle</t>
        </is>
      </c>
      <c r="I13" s="360" t="n"/>
    </row>
    <row r="14" ht="21" customHeight="1" s="290">
      <c r="A14" s="389" t="inlineStr">
        <is>
          <t>Potable</t>
        </is>
      </c>
      <c r="B14" s="389" t="n"/>
      <c r="C14" s="360" t="n">
        <v>30</v>
      </c>
      <c r="D14" s="360" t="n">
        <v>0</v>
      </c>
      <c r="E14" s="360" t="inlineStr">
        <is>
          <t>Water</t>
        </is>
      </c>
      <c r="F14" s="360" t="inlineStr">
        <is>
          <t>POT</t>
        </is>
      </c>
      <c r="G14" s="360" t="inlineStr">
        <is>
          <t>250 mL</t>
        </is>
      </c>
      <c r="H14" s="360" t="inlineStr">
        <is>
          <t>Plastic Bottle</t>
        </is>
      </c>
      <c r="I14" s="360" t="n"/>
    </row>
    <row r="15" ht="21" customHeight="1" s="290">
      <c r="A15" s="389" t="inlineStr">
        <is>
          <t>Recreational Water</t>
        </is>
      </c>
      <c r="B15" s="389" t="inlineStr">
        <is>
          <t>Pool, hammam, sauna, jacuzzi</t>
        </is>
      </c>
      <c r="C15" s="360" t="n">
        <v>30</v>
      </c>
      <c r="D15" s="360" t="n">
        <v>0</v>
      </c>
      <c r="E15" s="360" t="inlineStr">
        <is>
          <t>Water</t>
        </is>
      </c>
      <c r="F15" s="360" t="inlineStr">
        <is>
          <t>RWT</t>
        </is>
      </c>
      <c r="G15" s="360" t="inlineStr">
        <is>
          <t>250 mL</t>
        </is>
      </c>
      <c r="H15" s="360" t="inlineStr">
        <is>
          <t>Plastic Bottle</t>
        </is>
      </c>
      <c r="I15" s="360" t="n"/>
    </row>
    <row r="16" ht="21" customHeight="1" s="290">
      <c r="A16" s="389" t="inlineStr">
        <is>
          <t>River Water</t>
        </is>
      </c>
      <c r="B16" s="389" t="n"/>
      <c r="C16" s="360" t="n">
        <v>30</v>
      </c>
      <c r="D16" s="360" t="n">
        <v>1</v>
      </c>
      <c r="E16" s="360" t="inlineStr">
        <is>
          <t>Water</t>
        </is>
      </c>
      <c r="F16" s="360" t="inlineStr">
        <is>
          <t>RVR</t>
        </is>
      </c>
      <c r="G16" s="360" t="inlineStr">
        <is>
          <t>250 mL</t>
        </is>
      </c>
      <c r="H16" s="360" t="inlineStr">
        <is>
          <t>Plastic Bottle</t>
        </is>
      </c>
      <c r="I16" s="360" t="n"/>
    </row>
    <row r="17" ht="21" customHeight="1" s="290">
      <c r="A17" s="389" t="inlineStr">
        <is>
          <t>Sea Water</t>
        </is>
      </c>
      <c r="B17" s="389" t="inlineStr">
        <is>
          <t>Ocean surface samples</t>
        </is>
      </c>
      <c r="C17" s="360" t="n">
        <v>30</v>
      </c>
      <c r="D17" s="360" t="n">
        <v>0</v>
      </c>
      <c r="E17" s="360" t="inlineStr">
        <is>
          <t>Water</t>
        </is>
      </c>
      <c r="F17" s="360" t="inlineStr">
        <is>
          <t>OWT</t>
        </is>
      </c>
      <c r="G17" s="360" t="inlineStr">
        <is>
          <t>250 mL</t>
        </is>
      </c>
      <c r="H17" s="360" t="inlineStr">
        <is>
          <t>Plastic Bottle</t>
        </is>
      </c>
      <c r="I17" s="360" t="n"/>
    </row>
    <row r="18" ht="21" customHeight="1" s="290">
      <c r="A18" s="389" t="inlineStr">
        <is>
          <t>Sewage</t>
        </is>
      </c>
      <c r="B18" s="389" t="inlineStr">
        <is>
          <t>Raw Industrial/Domestic sewage, excluding Condenser Waste Water, which requires a different specification</t>
        </is>
      </c>
      <c r="C18" s="360" t="n">
        <v>30</v>
      </c>
      <c r="D18" s="360" t="n">
        <v>1</v>
      </c>
      <c r="E18" s="360" t="inlineStr">
        <is>
          <t>Water</t>
        </is>
      </c>
      <c r="F18" s="360" t="inlineStr">
        <is>
          <t>SEW</t>
        </is>
      </c>
      <c r="G18" s="360" t="inlineStr">
        <is>
          <t>250 mL</t>
        </is>
      </c>
      <c r="H18" s="360" t="inlineStr">
        <is>
          <t>Plastic Bottle</t>
        </is>
      </c>
      <c r="I18" s="360" t="n"/>
    </row>
    <row r="19" ht="21" customHeight="1" s="290">
      <c r="A19" s="389" t="inlineStr">
        <is>
          <t>Sludge</t>
        </is>
      </c>
      <c r="B19" s="389" t="n"/>
      <c r="C19" s="360" t="n">
        <v>30</v>
      </c>
      <c r="D19" s="360" t="n">
        <v>1</v>
      </c>
      <c r="E19" s="360" t="inlineStr">
        <is>
          <t>Water</t>
        </is>
      </c>
      <c r="F19" s="360" t="inlineStr">
        <is>
          <t>SLD</t>
        </is>
      </c>
      <c r="G19" s="360" t="inlineStr">
        <is>
          <t>250 mL</t>
        </is>
      </c>
      <c r="H19" s="360" t="inlineStr">
        <is>
          <t>Plastic Bottle</t>
        </is>
      </c>
      <c r="I19" s="360" t="n"/>
    </row>
    <row r="20" ht="21" customHeight="1" s="290">
      <c r="A20" s="389" t="inlineStr">
        <is>
          <t>Surface Water</t>
        </is>
      </c>
      <c r="B20" s="389" t="inlineStr">
        <is>
          <t>Lakes and Dams</t>
        </is>
      </c>
      <c r="C20" s="360" t="n">
        <v>30</v>
      </c>
      <c r="D20" s="360" t="n">
        <v>0</v>
      </c>
      <c r="E20" s="360" t="inlineStr">
        <is>
          <t>Water</t>
        </is>
      </c>
      <c r="F20" s="360" t="inlineStr">
        <is>
          <t>SWT</t>
        </is>
      </c>
      <c r="G20" s="360" t="inlineStr">
        <is>
          <t>250 mL</t>
        </is>
      </c>
      <c r="H20" s="360" t="inlineStr">
        <is>
          <t>Plastic Bottle</t>
        </is>
      </c>
      <c r="I20" s="360" t="n"/>
    </row>
    <row r="21" ht="21" customHeight="1" s="290">
      <c r="A21" s="389" t="inlineStr">
        <is>
          <t>Wastewater</t>
        </is>
      </c>
      <c r="B21" s="389" t="n"/>
      <c r="C21" s="360" t="n">
        <v>30</v>
      </c>
      <c r="D21" s="360" t="n">
        <v>1</v>
      </c>
      <c r="E21" s="360" t="inlineStr">
        <is>
          <t>Water</t>
        </is>
      </c>
      <c r="F21" s="360" t="inlineStr">
        <is>
          <t>WW</t>
        </is>
      </c>
      <c r="G21" s="360" t="inlineStr">
        <is>
          <t>250 mL</t>
        </is>
      </c>
      <c r="H21" s="360" t="inlineStr">
        <is>
          <t>Plastic Bottle</t>
        </is>
      </c>
      <c r="I21" s="360" t="n"/>
    </row>
  </sheetData>
  <mergeCells count="6">
    <mergeCell ref="C2:C3"/>
    <mergeCell ref="D2:D3"/>
    <mergeCell ref="F2:F3"/>
    <mergeCell ref="E2:E3"/>
    <mergeCell ref="H2:H3"/>
    <mergeCell ref="G2:G3"/>
  </mergeCells>
  <conditionalFormatting sqref="A1:I1">
    <cfRule type="expression" rank="0" priority="2" equalAverage="0" aboveAverage="0" dxfId="0" text="" percent="0" bottom="0">
      <formula>LEN(TRIM(A1))=0</formula>
    </cfRule>
  </conditionalFormatting>
  <conditionalFormatting sqref="E4:E21">
    <cfRule type="expression" rank="0" priority="3" equalAverage="0" aboveAverage="0" dxfId="0" text="" percent="0" bottom="0">
      <formula>NOT(COUNTIF(INDIRECT("Sample Matrices!"&amp;"A$4:A"),E4)&gt;0)*NOT(ISBLANK(E4))</formula>
    </cfRule>
  </conditionalFormatting>
  <dataValidations count="4">
    <dataValidation sqref="C4:C21" showDropDown="0" showInputMessage="1" showErrorMessage="1" allowBlank="1" prompt="Integer - Please enter a whole number greater than or equal to 0" type="decimal" errorStyle="stop" operator="greaterThanOrEqual">
      <formula1>0</formula1>
      <formula2>0</formula2>
    </dataValidation>
    <dataValidation sqref="D4:D21" showDropDown="0" showInputMessage="0" showErrorMessage="1" allowBlank="1" type="list" errorStyle="stop" operator="equal">
      <formula1>"0,1"</formula1>
      <formula2>0</formula2>
    </dataValidation>
    <dataValidation sqref="E4:E21" showDropDown="0" showInputMessage="0" showErrorMessage="1" allowBlank="1" type="list" errorStyle="stop" operator="equal">
      <formula1>'Sample Matrices'!$A$4:$A21</formula1>
      <formula2>0</formula2>
    </dataValidation>
    <dataValidation sqref="H4:H21" showDropDown="0" showInputMessage="1" showErrorMessage="1" allowBlank="1" prompt="Select a Container Type - Select a valid container type from the selection list. The list is maintained on the 'Container Types' sheet" type="list" errorStyle="stop" operator="equal">
      <formula1>'Container Types'!$A$4:$A$8</formula1>
      <formula2>0</formula2>
    </dataValidation>
  </dataValidation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tabColor rgb="FFFFFF00"/>
    <outlinePr summaryBelow="1" summaryRight="1"/>
    <pageSetUpPr fitToPage="1"/>
  </sheetPr>
  <dimension ref="A1:K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8.99" customWidth="1" style="289" min="1" max="1"/>
    <col width="37.92" customWidth="1" style="289" min="2" max="2"/>
    <col width="31.12" customWidth="1" style="289" min="3" max="3"/>
    <col outlineLevel="1" width="12.47" customWidth="1" style="289" min="4" max="6"/>
    <col width="20.29" customWidth="1" style="289" min="7" max="7"/>
    <col width="22.05" customWidth="1" style="289" min="8" max="8"/>
    <col width="20.16" customWidth="1" style="289" min="9" max="11"/>
    <col width="12.72" customWidth="1" style="289" min="12" max="1024"/>
  </cols>
  <sheetData>
    <row r="1" hidden="1" ht="27" customHeight="1" s="290">
      <c r="A1" s="303" t="inlineStr">
        <is>
          <t>Client_title</t>
        </is>
      </c>
      <c r="B1" s="303" t="inlineStr">
        <is>
          <t>title</t>
        </is>
      </c>
      <c r="C1" s="303" t="inlineStr">
        <is>
          <t>description</t>
        </is>
      </c>
      <c r="D1" s="303" t="inlineStr">
        <is>
          <t>Latitude</t>
        </is>
      </c>
      <c r="E1" s="303" t="inlineStr">
        <is>
          <t>Longitude</t>
        </is>
      </c>
      <c r="F1" s="324" t="inlineStr">
        <is>
          <t>Elevation</t>
        </is>
      </c>
      <c r="G1" s="303" t="inlineStr">
        <is>
          <t>Composite</t>
        </is>
      </c>
      <c r="H1" s="324" t="inlineStr">
        <is>
          <t>SampleType_title</t>
        </is>
      </c>
      <c r="I1" s="303" t="n"/>
      <c r="J1" s="303" t="n"/>
      <c r="K1" s="303" t="n"/>
    </row>
    <row r="2" ht="37.5" customHeight="1" s="290">
      <c r="A2" s="343" t="inlineStr">
        <is>
          <t>Sample Points</t>
        </is>
      </c>
      <c r="B2" s="327" t="n"/>
      <c r="C2" s="327" t="n"/>
      <c r="D2" s="356" t="inlineStr">
        <is>
          <t>Geographic Coordinates</t>
        </is>
      </c>
      <c r="E2" s="331" t="n"/>
      <c r="F2" s="332" t="n"/>
      <c r="G2" s="326" t="n"/>
      <c r="H2" s="329" t="n"/>
      <c r="I2" s="307">
        <f>HYPERLINK("https://www.bikalabs.com","Creative Commons BYSA
Bika Lab Systems")</f>
        <v/>
      </c>
      <c r="J2" s="366" t="n"/>
      <c r="K2" s="366" t="n"/>
    </row>
    <row r="3" ht="24" customHeight="1" s="290">
      <c r="A3" s="356" t="inlineStr">
        <is>
          <t>Client</t>
        </is>
      </c>
      <c r="B3" s="334" t="inlineStr">
        <is>
          <t>⭐ Sample Point</t>
        </is>
      </c>
      <c r="C3" s="356" t="inlineStr">
        <is>
          <t>Description</t>
        </is>
      </c>
      <c r="D3" s="356" t="inlineStr">
        <is>
          <t>Latitude</t>
        </is>
      </c>
      <c r="E3" s="334" t="inlineStr">
        <is>
          <t>Longitude</t>
        </is>
      </c>
      <c r="F3" s="356" t="inlineStr">
        <is>
          <t>Elevation</t>
        </is>
      </c>
      <c r="G3" s="356" t="inlineStr">
        <is>
          <t>Composite?  Y/N</t>
        </is>
      </c>
      <c r="H3" s="356" t="inlineStr">
        <is>
          <t>Sample Type</t>
        </is>
      </c>
      <c r="I3" s="349" t="n"/>
      <c r="J3" s="349" t="n"/>
      <c r="K3" s="349" t="n"/>
    </row>
    <row r="4" ht="21" customHeight="1" s="290">
      <c r="A4" s="359" t="inlineStr">
        <is>
          <t>Raka</t>
        </is>
      </c>
      <c r="B4" s="390" t="inlineStr">
        <is>
          <t>River</t>
        </is>
      </c>
      <c r="C4" s="359" t="n"/>
      <c r="D4" s="360" t="n"/>
      <c r="E4" s="360" t="n"/>
      <c r="F4" s="360" t="n"/>
      <c r="G4" s="360" t="n">
        <v>0</v>
      </c>
      <c r="H4" s="359" t="inlineStr">
        <is>
          <t>River Water</t>
        </is>
      </c>
      <c r="I4" s="390" t="n"/>
      <c r="J4" s="390" t="n"/>
      <c r="K4" s="390" t="n"/>
    </row>
    <row r="5" ht="21" customHeight="1" s="290">
      <c r="A5" s="359" t="inlineStr">
        <is>
          <t>Raka</t>
        </is>
      </c>
      <c r="B5" s="390" t="inlineStr">
        <is>
          <t>Blue Beach</t>
        </is>
      </c>
      <c r="C5" s="359" t="n"/>
      <c r="D5" s="360" t="n"/>
      <c r="E5" s="360" t="n"/>
      <c r="F5" s="360" t="n"/>
      <c r="G5" s="360" t="n">
        <v>0</v>
      </c>
      <c r="H5" s="359" t="inlineStr">
        <is>
          <t>Sea Water</t>
        </is>
      </c>
      <c r="I5" s="390" t="n"/>
      <c r="J5" s="390" t="n"/>
      <c r="K5" s="390" t="n"/>
    </row>
    <row r="6" ht="21" customHeight="1" s="290">
      <c r="A6" s="359" t="inlineStr">
        <is>
          <t>Raka</t>
        </is>
      </c>
      <c r="B6" s="390" t="inlineStr">
        <is>
          <t>Spring</t>
        </is>
      </c>
      <c r="C6" s="359" t="n"/>
      <c r="D6" s="360" t="n"/>
      <c r="E6" s="360" t="n"/>
      <c r="F6" s="360" t="n"/>
      <c r="G6" s="360" t="n">
        <v>0</v>
      </c>
      <c r="H6" s="359" t="inlineStr">
        <is>
          <t>Ground Water</t>
        </is>
      </c>
      <c r="I6" s="390" t="n"/>
      <c r="J6" s="390" t="n"/>
      <c r="K6" s="390" t="n"/>
    </row>
    <row r="7" ht="21" customHeight="1" s="290">
      <c r="A7" s="359" t="inlineStr">
        <is>
          <t>Raka</t>
        </is>
      </c>
      <c r="B7" s="390" t="inlineStr">
        <is>
          <t>Fountain</t>
        </is>
      </c>
      <c r="C7" s="359" t="n"/>
      <c r="D7" s="360" t="n"/>
      <c r="E7" s="360" t="n"/>
      <c r="F7" s="360" t="n"/>
      <c r="G7" s="360" t="n">
        <v>0</v>
      </c>
      <c r="H7" s="359" t="inlineStr">
        <is>
          <t>Recreational Water</t>
        </is>
      </c>
      <c r="I7" s="390" t="n"/>
      <c r="J7" s="390" t="n"/>
      <c r="K7" s="390" t="n"/>
    </row>
    <row r="8" ht="21" customHeight="1" s="290">
      <c r="A8" s="359" t="inlineStr">
        <is>
          <t>Raka</t>
        </is>
      </c>
      <c r="B8" s="390" t="inlineStr">
        <is>
          <t>Park</t>
        </is>
      </c>
      <c r="C8" s="359" t="n"/>
      <c r="D8" s="360" t="n"/>
      <c r="E8" s="360" t="n"/>
      <c r="F8" s="360" t="n"/>
      <c r="G8" s="360" t="n">
        <v>0</v>
      </c>
      <c r="H8" s="359" t="inlineStr">
        <is>
          <t>Recreational Water</t>
        </is>
      </c>
      <c r="I8" s="390" t="n"/>
      <c r="J8" s="390" t="n"/>
      <c r="K8" s="390" t="n"/>
    </row>
    <row r="9" ht="21" customHeight="1" s="290">
      <c r="A9" s="359" t="inlineStr">
        <is>
          <t>Raka</t>
        </is>
      </c>
      <c r="B9" s="390" t="inlineStr">
        <is>
          <t>Pond</t>
        </is>
      </c>
      <c r="C9" s="359" t="n"/>
      <c r="D9" s="360" t="n"/>
      <c r="E9" s="360" t="n"/>
      <c r="F9" s="360" t="n"/>
      <c r="G9" s="360" t="n">
        <v>0</v>
      </c>
      <c r="H9" s="359" t="inlineStr">
        <is>
          <t>Surface Water</t>
        </is>
      </c>
      <c r="I9" s="390" t="n"/>
      <c r="J9" s="390" t="n"/>
      <c r="K9" s="390" t="n"/>
    </row>
    <row r="10" ht="21" customHeight="1" s="290">
      <c r="A10" s="359" t="inlineStr">
        <is>
          <t>Raka</t>
        </is>
      </c>
      <c r="B10" s="390" t="inlineStr">
        <is>
          <t>Reservoir</t>
        </is>
      </c>
      <c r="C10" s="359" t="n"/>
      <c r="D10" s="360" t="n"/>
      <c r="E10" s="360" t="n"/>
      <c r="F10" s="360" t="n"/>
      <c r="G10" s="360" t="n">
        <v>0</v>
      </c>
      <c r="H10" s="359" t="inlineStr">
        <is>
          <t>Drinking water</t>
        </is>
      </c>
      <c r="I10" s="390" t="n"/>
      <c r="J10" s="390" t="n"/>
      <c r="K10" s="390" t="n"/>
    </row>
    <row r="11" ht="21" customHeight="1" s="290">
      <c r="A11" s="359" t="inlineStr">
        <is>
          <t>Raka</t>
        </is>
      </c>
      <c r="B11" s="390" t="inlineStr">
        <is>
          <t>Dam</t>
        </is>
      </c>
      <c r="C11" s="359" t="n"/>
      <c r="D11" s="360" t="n"/>
      <c r="E11" s="360" t="n"/>
      <c r="F11" s="360" t="n"/>
      <c r="G11" s="360" t="n">
        <v>0</v>
      </c>
      <c r="H11" s="359" t="inlineStr">
        <is>
          <t>Surface Water</t>
        </is>
      </c>
      <c r="I11" s="390" t="n"/>
      <c r="J11" s="390" t="n"/>
      <c r="K11" s="390" t="n"/>
    </row>
    <row r="12" ht="21" customHeight="1" s="290">
      <c r="A12" s="359" t="inlineStr">
        <is>
          <t>Raka</t>
        </is>
      </c>
      <c r="B12" s="359" t="inlineStr">
        <is>
          <t>House 0671</t>
        </is>
      </c>
      <c r="C12" s="359" t="n"/>
      <c r="D12" s="360" t="n"/>
      <c r="E12" s="360" t="n"/>
      <c r="F12" s="360" t="n"/>
      <c r="G12" s="360" t="n">
        <v>0</v>
      </c>
      <c r="H12" s="359" t="inlineStr">
        <is>
          <t>Drinking water</t>
        </is>
      </c>
      <c r="I12" s="390" t="n"/>
      <c r="J12" s="390" t="n"/>
      <c r="K12" s="390" t="n"/>
    </row>
    <row r="13" ht="21" customHeight="1" s="290">
      <c r="A13" s="359" t="inlineStr">
        <is>
          <t>Raka</t>
        </is>
      </c>
      <c r="B13" s="359" t="inlineStr">
        <is>
          <t>House 1175</t>
        </is>
      </c>
      <c r="C13" s="359" t="n"/>
      <c r="D13" s="360" t="n"/>
      <c r="E13" s="360" t="n"/>
      <c r="F13" s="360" t="n"/>
      <c r="G13" s="360" t="n">
        <v>0</v>
      </c>
      <c r="H13" s="359" t="inlineStr">
        <is>
          <t>Drinking water</t>
        </is>
      </c>
      <c r="I13" s="390" t="n"/>
      <c r="J13" s="390" t="n"/>
      <c r="K13" s="390" t="n"/>
    </row>
    <row r="14" ht="21" customHeight="1" s="290">
      <c r="A14" s="359" t="inlineStr">
        <is>
          <t>Raka</t>
        </is>
      </c>
      <c r="B14" s="359" t="inlineStr">
        <is>
          <t>House 0167</t>
        </is>
      </c>
      <c r="C14" s="359" t="n"/>
      <c r="D14" s="360" t="n"/>
      <c r="E14" s="360" t="n"/>
      <c r="F14" s="360" t="n"/>
      <c r="G14" s="360" t="n">
        <v>0</v>
      </c>
      <c r="H14" s="359" t="inlineStr">
        <is>
          <t>Drinking water</t>
        </is>
      </c>
      <c r="I14" s="390" t="n"/>
      <c r="J14" s="390" t="n"/>
      <c r="K14" s="390" t="n"/>
    </row>
    <row r="15" ht="21" customHeight="1" s="290">
      <c r="A15" s="359" t="inlineStr">
        <is>
          <t>Raka</t>
        </is>
      </c>
      <c r="B15" s="359" t="inlineStr">
        <is>
          <t>House 1679</t>
        </is>
      </c>
      <c r="C15" s="359" t="n"/>
      <c r="D15" s="360" t="n"/>
      <c r="E15" s="360" t="n"/>
      <c r="F15" s="360" t="n"/>
      <c r="G15" s="360" t="n">
        <v>0</v>
      </c>
      <c r="H15" s="359" t="inlineStr">
        <is>
          <t>Drinking water</t>
        </is>
      </c>
      <c r="I15" s="390" t="n"/>
      <c r="J15" s="390" t="n"/>
      <c r="K15" s="390" t="n"/>
    </row>
    <row r="16" ht="21" customHeight="1" s="290">
      <c r="A16" s="359" t="n"/>
      <c r="B16" s="359" t="inlineStr">
        <is>
          <t>Post Office</t>
        </is>
      </c>
      <c r="C16" s="359" t="n"/>
      <c r="D16" s="360" t="n"/>
      <c r="E16" s="360" t="n"/>
      <c r="F16" s="360" t="n"/>
      <c r="G16" s="360" t="n">
        <v>0</v>
      </c>
      <c r="H16" s="359" t="inlineStr">
        <is>
          <t>Drinking water</t>
        </is>
      </c>
      <c r="I16" s="390" t="n"/>
      <c r="J16" s="390" t="n"/>
      <c r="K16" s="390" t="n"/>
    </row>
    <row r="17" ht="21" customHeight="1" s="290">
      <c r="A17" s="359" t="n"/>
      <c r="B17" s="359" t="inlineStr">
        <is>
          <t>Supermarket</t>
        </is>
      </c>
      <c r="C17" s="359" t="n"/>
      <c r="D17" s="360" t="n"/>
      <c r="E17" s="360" t="n"/>
      <c r="F17" s="360" t="n"/>
      <c r="G17" s="360" t="n">
        <v>0</v>
      </c>
      <c r="H17" s="359" t="inlineStr">
        <is>
          <t>Bottled water</t>
        </is>
      </c>
      <c r="I17" s="390" t="n"/>
      <c r="J17" s="390" t="n"/>
      <c r="K17" s="390" t="n"/>
    </row>
    <row r="18" ht="21" customHeight="1" s="290">
      <c r="A18" s="359" t="n"/>
      <c r="B18" s="359" t="inlineStr">
        <is>
          <t>Train Station</t>
        </is>
      </c>
      <c r="C18" s="359" t="n"/>
      <c r="D18" s="360" t="n"/>
      <c r="E18" s="360" t="n"/>
      <c r="F18" s="360" t="n"/>
      <c r="G18" s="360" t="n">
        <v>0</v>
      </c>
      <c r="H18" s="359" t="inlineStr">
        <is>
          <t>Drinking water</t>
        </is>
      </c>
      <c r="I18" s="390" t="n"/>
      <c r="J18" s="390" t="n"/>
      <c r="K18" s="390" t="n"/>
    </row>
    <row r="19" ht="21" customHeight="1" s="290">
      <c r="A19" s="359" t="n"/>
      <c r="B19" s="359" t="inlineStr">
        <is>
          <t>Sports Centre</t>
        </is>
      </c>
      <c r="C19" s="359" t="n"/>
      <c r="D19" s="360" t="n"/>
      <c r="E19" s="360" t="n"/>
      <c r="F19" s="360" t="n"/>
      <c r="G19" s="360" t="n">
        <v>0</v>
      </c>
      <c r="H19" s="359" t="inlineStr">
        <is>
          <t>Drinking water</t>
        </is>
      </c>
      <c r="I19" s="390" t="n"/>
      <c r="J19" s="390" t="n"/>
      <c r="K19" s="390" t="n"/>
    </row>
    <row r="20" ht="21" customHeight="1" s="290">
      <c r="A20" s="359" t="n"/>
      <c r="B20" s="390" t="inlineStr">
        <is>
          <t>Factory</t>
        </is>
      </c>
      <c r="C20" s="359" t="n"/>
      <c r="D20" s="360" t="n"/>
      <c r="E20" s="360" t="n"/>
      <c r="F20" s="360" t="n"/>
      <c r="G20" s="360" t="n">
        <v>0</v>
      </c>
      <c r="H20" s="359" t="inlineStr">
        <is>
          <t>Industrial Effluent</t>
        </is>
      </c>
      <c r="I20" s="390" t="n"/>
      <c r="J20" s="390" t="n"/>
      <c r="K20" s="390" t="n"/>
    </row>
    <row r="21" ht="21" customHeight="1" s="290">
      <c r="A21" s="359" t="n"/>
      <c r="B21" s="390" t="inlineStr">
        <is>
          <t>Castle</t>
        </is>
      </c>
      <c r="C21" s="359" t="n"/>
      <c r="D21" s="360" t="n"/>
      <c r="E21" s="360" t="n"/>
      <c r="F21" s="360" t="n"/>
      <c r="G21" s="360" t="n">
        <v>0</v>
      </c>
      <c r="H21" s="359" t="inlineStr">
        <is>
          <t>Surface Water</t>
        </is>
      </c>
      <c r="I21" s="390" t="n"/>
      <c r="J21" s="390" t="n"/>
      <c r="K21" s="390" t="n"/>
    </row>
    <row r="22" ht="21" customHeight="1" s="290">
      <c r="A22" s="359" t="n"/>
      <c r="B22" s="390" t="inlineStr">
        <is>
          <t>Cinema</t>
        </is>
      </c>
      <c r="C22" s="359" t="n"/>
      <c r="D22" s="360" t="n"/>
      <c r="E22" s="360" t="n"/>
      <c r="F22" s="360" t="n"/>
      <c r="G22" s="360" t="n">
        <v>0</v>
      </c>
      <c r="H22" s="359" t="inlineStr">
        <is>
          <t>Bottled water</t>
        </is>
      </c>
      <c r="I22" s="390" t="n"/>
      <c r="J22" s="390" t="n"/>
      <c r="K22" s="390" t="n"/>
    </row>
    <row r="23" ht="21" customHeight="1" s="290">
      <c r="A23" s="359" t="n"/>
      <c r="B23" s="390" t="inlineStr">
        <is>
          <t>School</t>
        </is>
      </c>
      <c r="C23" s="359" t="n"/>
      <c r="D23" s="360" t="n"/>
      <c r="E23" s="360" t="n"/>
      <c r="F23" s="360" t="n"/>
      <c r="G23" s="360" t="n">
        <v>0</v>
      </c>
      <c r="H23" s="359" t="inlineStr">
        <is>
          <t>Drinking water</t>
        </is>
      </c>
      <c r="I23" s="390" t="n"/>
      <c r="J23" s="390" t="n"/>
      <c r="K23" s="390" t="n"/>
    </row>
    <row r="24" ht="21" customHeight="1" s="290">
      <c r="A24" s="359" t="n"/>
      <c r="B24" s="390" t="inlineStr">
        <is>
          <t>Market Square</t>
        </is>
      </c>
      <c r="C24" s="359" t="n"/>
      <c r="D24" s="360" t="n"/>
      <c r="E24" s="360" t="n"/>
      <c r="F24" s="360" t="n"/>
      <c r="G24" s="360" t="n">
        <v>0</v>
      </c>
      <c r="H24" s="359" t="inlineStr">
        <is>
          <t>Recreational Water</t>
        </is>
      </c>
      <c r="I24" s="390" t="n"/>
      <c r="J24" s="390" t="n"/>
      <c r="K24" s="390" t="n"/>
    </row>
    <row r="25" ht="21" customHeight="1" s="290">
      <c r="A25" s="359" t="n"/>
      <c r="B25" s="390" t="inlineStr">
        <is>
          <t>Clinic</t>
        </is>
      </c>
      <c r="C25" s="359" t="n"/>
      <c r="D25" s="360" t="n"/>
      <c r="E25" s="360" t="n"/>
      <c r="F25" s="360" t="n"/>
      <c r="G25" s="360" t="n">
        <v>0</v>
      </c>
      <c r="H25" s="359" t="inlineStr">
        <is>
          <t>Drinking water</t>
        </is>
      </c>
      <c r="I25" s="390" t="n"/>
      <c r="J25" s="390" t="n"/>
      <c r="K25" s="390" t="n"/>
    </row>
  </sheetData>
  <mergeCells count="1">
    <mergeCell ref="D2:F2"/>
  </mergeCells>
  <conditionalFormatting sqref="A4:A25">
    <cfRule type="expression" rank="0" priority="2" equalAverage="0" aboveAverage="0" dxfId="2" text="" percent="0" bottom="0">
      <formula>NOT(COUNTIF(INDIRECT("Clients!"&amp;"A$4:A"),A4)&gt;0)*NOT(ISBLANK(A4))</formula>
    </cfRule>
  </conditionalFormatting>
  <conditionalFormatting sqref="A1:K1">
    <cfRule type="expression" rank="0" priority="3" equalAverage="0" aboveAverage="0" dxfId="0" text="" percent="0" bottom="0">
      <formula>LEN(TRIM(A1))=0</formula>
    </cfRule>
  </conditionalFormatting>
  <conditionalFormatting sqref="H4:H25">
    <cfRule type="expression" rank="0" priority="4" equalAverage="0" aboveAverage="0" dxfId="0" text="" percent="0" bottom="0">
      <formula>NOT(COUNTIF(INDIRECT("Sample Types!"&amp;"A$4:A"),H4)&gt;0)*NOT(ISBLANK(H4))</formula>
    </cfRule>
  </conditionalFormatting>
  <dataValidations count="5">
    <dataValidation sqref="A4:A25" showDropDown="0" showInputMessage="0" showErrorMessage="1" allowBlank="1" type="list" errorStyle="stop" operator="equal">
      <formula1>Clients!$A$4:$A25</formula1>
      <formula2>0</formula2>
    </dataValidation>
    <dataValidation sqref="D4:D25" showDropDown="0" showInputMessage="0" showErrorMessage="1" allowBlank="1" type="list" errorStyle="stop" operator="equal">
      <formula1>"N,S"</formula1>
      <formula2>0</formula2>
    </dataValidation>
    <dataValidation sqref="E4:E25" showDropDown="0" showInputMessage="0" showErrorMessage="1" allowBlank="1" type="list" errorStyle="stop" operator="equal">
      <formula1>"E,W"</formula1>
      <formula2>0</formula2>
    </dataValidation>
    <dataValidation sqref="G4:G25" showDropDown="0" showInputMessage="0" showErrorMessage="1" allowBlank="1" type="list" errorStyle="stop" operator="equal">
      <formula1>"0,1"</formula1>
      <formula2>0</formula2>
    </dataValidation>
    <dataValidation sqref="H4:H25" showDropDown="0" showInputMessage="1" showErrorMessage="1" allowBlank="1" prompt="Select a Sample Type for this Sample Point - Please select a valid  Sample Type for this Sample Point from the list. The list is maintained on the 'Sample Types' sheet.  If more than one Sample Type can be sampled at this Sample Point, please add entriies" type="list" errorStyle="stop" operator="equal">
      <formula1>'Sample Types'!$A$4:$A25</formula1>
      <formula2>0</formula2>
    </dataValidation>
  </dataValidations>
  <printOptions horizontalCentered="1" verticalCentered="0" headings="0" gridLines="1" gridLinesSet="1"/>
  <pageMargins left="0.7" right="0.7" top="0.75" bottom="0.75" header="0.511811023622047" footer="0.511811023622047"/>
  <pageSetup orientation="portrait" paperSize="9" scale="100" fitToHeight="0" fitToWidth="1" pageOrder="overThenDown" blackAndWhite="0" draft="0" horizontalDpi="300" verticalDpi="300" copies="1"/>
</worksheet>
</file>

<file path=xl/worksheets/sheet16.xml><?xml version="1.0" encoding="utf-8"?>
<worksheet xmlns="http://schemas.openxmlformats.org/spreadsheetml/2006/main">
  <sheetPr filterMode="0">
    <tabColor rgb="FF5DD727"/>
    <outlinePr summaryBelow="1" summaryRight="1"/>
    <pageSetUpPr fitToPage="0"/>
  </sheetPr>
  <dimension ref="A1:C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33.01" customWidth="1" style="289" min="1" max="1"/>
    <col width="48" customWidth="1" style="289" min="2" max="2"/>
    <col width="28.09" customWidth="1" style="289" min="3" max="3"/>
    <col width="12.72" customWidth="1" style="289" min="4" max="1024"/>
  </cols>
  <sheetData>
    <row r="1" hidden="1" ht="28.5" customHeight="1" s="290">
      <c r="A1" s="303" t="inlineStr">
        <is>
          <t>title</t>
        </is>
      </c>
      <c r="B1" s="303" t="inlineStr">
        <is>
          <t>description</t>
        </is>
      </c>
      <c r="C1" s="303" t="n"/>
    </row>
    <row r="2" ht="37.5" customHeight="1" s="290">
      <c r="A2" s="396">
        <f>HYPERLINK("https://www.bikalims.org/manual/instrument-interfacing/instrument-configuration","Instrument Types")</f>
        <v/>
      </c>
      <c r="B2" s="327" t="n"/>
      <c r="C2" s="307">
        <f>HYPERLINK("https://www.bikalabs.com","Creative Commons BYSA
Bika Lab Systems")</f>
        <v/>
      </c>
    </row>
    <row r="3" ht="24" customHeight="1" s="290">
      <c r="A3" s="356" t="inlineStr">
        <is>
          <t>⭐ Title</t>
        </is>
      </c>
      <c r="B3" s="356" t="inlineStr">
        <is>
          <t>Description</t>
        </is>
      </c>
      <c r="C3" s="310" t="n"/>
    </row>
    <row r="4" ht="21" customHeight="1" s="290">
      <c r="A4" s="397" t="inlineStr">
        <is>
          <t>Unknown</t>
        </is>
      </c>
      <c r="B4" s="397" t="n"/>
      <c r="C4" s="296" t="n"/>
    </row>
  </sheetData>
  <conditionalFormatting sqref="A1:C1">
    <cfRule type="expression" rank="0" priority="2" equalAverage="0" aboveAverage="0" dxfId="0" text="" percent="0" bottom="0">
      <formula>LEN(TRIM(A1))=0</formula>
    </cfRule>
  </conditionalFormatting>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tabColor rgb="FF999999"/>
    <outlinePr summaryBelow="1" summaryRight="1"/>
    <pageSetUpPr fitToPage="0"/>
  </sheetPr>
  <dimension ref="A1:C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8.22" customWidth="1" style="289" min="1" max="2"/>
    <col width="26.2" customWidth="1" style="289" min="3" max="3"/>
    <col width="12.72" customWidth="1" style="289" min="4" max="1024"/>
  </cols>
  <sheetData>
    <row r="1" hidden="1" ht="24.75" customHeight="1" s="290">
      <c r="A1" s="303" t="inlineStr">
        <is>
          <t>SamplePoint_title</t>
        </is>
      </c>
      <c r="B1" s="303" t="inlineStr">
        <is>
          <t>SampleType_title</t>
        </is>
      </c>
      <c r="C1" s="303" t="n"/>
    </row>
    <row r="2" ht="37.5" customHeight="1" s="290">
      <c r="A2" s="343" t="inlineStr">
        <is>
          <t>Sample Point Sample Types</t>
        </is>
      </c>
      <c r="B2" s="306" t="n"/>
      <c r="C2" s="307">
        <f>HYPERLINK("https://www.bikalabs.com","Creative Commons BYSA
Bika Lab Systems")</f>
        <v/>
      </c>
    </row>
    <row r="3" ht="24" customHeight="1" s="290">
      <c r="A3" s="334" t="inlineStr">
        <is>
          <t>⭐ Sample point</t>
        </is>
      </c>
      <c r="B3" s="334" t="inlineStr">
        <is>
          <t>⭐ Sample type</t>
        </is>
      </c>
      <c r="C3" s="349" t="n"/>
    </row>
    <row r="4" ht="24" customHeight="1" s="290">
      <c r="A4" s="398" t="inlineStr">
        <is>
          <t>River</t>
        </is>
      </c>
      <c r="B4" s="398" t="inlineStr">
        <is>
          <t>River Water</t>
        </is>
      </c>
      <c r="C4" s="399" t="n"/>
    </row>
    <row r="5" ht="24" customHeight="1" s="290">
      <c r="A5" s="398" t="inlineStr">
        <is>
          <t>River</t>
        </is>
      </c>
      <c r="B5" s="389" t="inlineStr">
        <is>
          <t>Borehole Water</t>
        </is>
      </c>
      <c r="C5" s="399" t="n"/>
    </row>
    <row r="6" ht="24" customHeight="1" s="290">
      <c r="A6" s="398" t="inlineStr">
        <is>
          <t>Blue Beach</t>
        </is>
      </c>
      <c r="B6" s="398" t="inlineStr">
        <is>
          <t>Sea Water</t>
        </is>
      </c>
      <c r="C6" s="399" t="n"/>
    </row>
    <row r="7" ht="24" customHeight="1" s="290">
      <c r="A7" s="390" t="inlineStr">
        <is>
          <t>Park</t>
        </is>
      </c>
      <c r="B7" s="398" t="inlineStr">
        <is>
          <t>River Water</t>
        </is>
      </c>
      <c r="C7" s="399" t="n"/>
    </row>
    <row r="8" ht="24" customHeight="1" s="290">
      <c r="A8" s="390" t="inlineStr">
        <is>
          <t>Pond</t>
        </is>
      </c>
      <c r="B8" s="398" t="inlineStr">
        <is>
          <t>River Water</t>
        </is>
      </c>
      <c r="C8" s="399" t="n"/>
    </row>
  </sheetData>
  <conditionalFormatting sqref="A1:C1">
    <cfRule type="expression" rank="0" priority="2" equalAverage="0" aboveAverage="0" dxfId="0" text="" percent="0" bottom="0">
      <formula>LEN(TRIM(A1))=0</formula>
    </cfRule>
  </conditionalFormatting>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tabColor rgb="FFF9F96F"/>
    <outlinePr summaryBelow="1" summaryRight="1"/>
    <pageSetUpPr fitToPage="0"/>
  </sheetPr>
  <dimension ref="A1:U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0.79" customWidth="1" style="289" min="1" max="1"/>
    <col width="27.46" customWidth="1" style="289" min="2" max="2"/>
    <col width="18.4" customWidth="1" style="289" min="3" max="4"/>
    <col width="20.91" customWidth="1" style="289" min="5" max="5"/>
    <col width="18.64" customWidth="1" style="289" min="6" max="6"/>
    <col hidden="1" outlineLevel="1" width="12.72" customWidth="1" style="289" min="7" max="8"/>
    <col hidden="1" outlineLevel="1" width="6.43" customWidth="1" style="289" min="9" max="9"/>
    <col hidden="1" outlineLevel="1" width="12.72" customWidth="1" style="289" min="10" max="10"/>
    <col width="18.64" customWidth="1" style="289" min="11" max="11"/>
    <col hidden="1" outlineLevel="1" width="12.72" customWidth="1" style="289" min="12" max="13"/>
    <col hidden="1" outlineLevel="1" width="6.43" customWidth="1" style="289" min="14" max="14"/>
    <col hidden="1" outlineLevel="1" width="12.72" customWidth="1" style="289" min="15" max="15"/>
    <col width="18.64" customWidth="1" style="289" min="16" max="16"/>
    <col hidden="1" outlineLevel="1" width="12.72" customWidth="1" style="289" min="17" max="18"/>
    <col hidden="1" outlineLevel="1" width="6.43" customWidth="1" style="289" min="19" max="19"/>
    <col hidden="1" outlineLevel="1" width="12.72" customWidth="1" style="289" min="20" max="20"/>
    <col width="25.83" customWidth="1" style="289" min="21" max="21"/>
    <col width="12.72" customWidth="1" style="289" min="22" max="1024"/>
  </cols>
  <sheetData>
    <row r="1" hidden="1" ht="28.5" customHeight="1" s="290">
      <c r="A1" s="380" t="inlineStr">
        <is>
          <t>Name</t>
        </is>
      </c>
      <c r="B1" s="303" t="inlineStr">
        <is>
          <t>AccountNumber</t>
        </is>
      </c>
      <c r="C1" s="303" t="inlineStr">
        <is>
          <t>TaxNumber</t>
        </is>
      </c>
      <c r="D1" s="363" t="inlineStr">
        <is>
          <t>Phone</t>
        </is>
      </c>
      <c r="E1" s="400" t="inlineStr">
        <is>
          <t>EmailAddress</t>
        </is>
      </c>
      <c r="F1" s="380" t="inlineStr">
        <is>
          <t>Physical_Address</t>
        </is>
      </c>
      <c r="G1" s="400" t="inlineStr">
        <is>
          <t>Physical_City</t>
        </is>
      </c>
      <c r="H1" s="400" t="inlineStr">
        <is>
          <t>Physical_State</t>
        </is>
      </c>
      <c r="I1" s="380" t="inlineStr">
        <is>
          <t>Physical_Zip</t>
        </is>
      </c>
      <c r="J1" s="380" t="inlineStr">
        <is>
          <t>Physical_Country</t>
        </is>
      </c>
      <c r="K1" s="380" t="inlineStr">
        <is>
          <t>Postal_Address</t>
        </is>
      </c>
      <c r="L1" s="400" t="inlineStr">
        <is>
          <t>Postal_City</t>
        </is>
      </c>
      <c r="M1" s="400" t="inlineStr">
        <is>
          <t>Postal_State</t>
        </is>
      </c>
      <c r="N1" s="380" t="inlineStr">
        <is>
          <t>Postal_Zip</t>
        </is>
      </c>
      <c r="O1" s="380" t="inlineStr">
        <is>
          <t>Postal_Country</t>
        </is>
      </c>
      <c r="P1" s="380" t="inlineStr">
        <is>
          <t>Billing_Address</t>
        </is>
      </c>
      <c r="Q1" s="400" t="inlineStr">
        <is>
          <t>Billing_City</t>
        </is>
      </c>
      <c r="R1" s="400" t="inlineStr">
        <is>
          <t>Billing_State</t>
        </is>
      </c>
      <c r="S1" s="380" t="inlineStr">
        <is>
          <t>Billing_Zip</t>
        </is>
      </c>
      <c r="T1" s="380" t="inlineStr">
        <is>
          <t>Billing_Country</t>
        </is>
      </c>
      <c r="U1" s="324" t="n"/>
    </row>
    <row r="2" ht="37.5" customHeight="1" s="290">
      <c r="A2" s="343">
        <f>HYPERLINK("https://www.bikalims.org/manual/qc/creating-QC-samples","Suppliers")</f>
        <v/>
      </c>
      <c r="B2" s="327" t="n"/>
      <c r="C2" s="401" t="n"/>
      <c r="D2" s="402" t="n"/>
      <c r="E2" s="401" t="n"/>
      <c r="F2" s="354" t="inlineStr">
        <is>
          <t>Physical Address</t>
        </is>
      </c>
      <c r="G2" s="331" t="n"/>
      <c r="H2" s="331" t="n"/>
      <c r="I2" s="331" t="n"/>
      <c r="J2" s="332" t="n"/>
      <c r="K2" s="354" t="inlineStr">
        <is>
          <t>Postal Address</t>
        </is>
      </c>
      <c r="L2" s="331" t="n"/>
      <c r="M2" s="331" t="n"/>
      <c r="N2" s="331" t="n"/>
      <c r="O2" s="332" t="n"/>
      <c r="P2" s="354" t="inlineStr">
        <is>
          <t>Billing Address</t>
        </is>
      </c>
      <c r="Q2" s="331" t="n"/>
      <c r="R2" s="331" t="n"/>
      <c r="S2" s="331" t="n"/>
      <c r="T2" s="332" t="n"/>
      <c r="U2" s="307">
        <f>HYPERLINK("https://www.bikalabs.com","Creative Commons BYSA
Bika Lab Systems")</f>
        <v/>
      </c>
    </row>
    <row r="3" ht="25.5" customHeight="1" s="290">
      <c r="A3" s="356" t="inlineStr">
        <is>
          <t>⭐ Name</t>
        </is>
      </c>
      <c r="B3" s="334" t="inlineStr">
        <is>
          <t>Lab Account ID at Supplier</t>
        </is>
      </c>
      <c r="C3" s="356" t="inlineStr">
        <is>
          <t>Tax Number</t>
        </is>
      </c>
      <c r="D3" s="403" t="inlineStr">
        <is>
          <t>Phone</t>
        </is>
      </c>
      <c r="E3" s="356" t="inlineStr">
        <is>
          <t>Email</t>
        </is>
      </c>
      <c r="F3" s="356" t="inlineStr">
        <is>
          <t>Building/Street</t>
        </is>
      </c>
      <c r="G3" s="356" t="inlineStr">
        <is>
          <t>City</t>
        </is>
      </c>
      <c r="H3" s="356" t="inlineStr">
        <is>
          <t>State</t>
        </is>
      </c>
      <c r="I3" s="356" t="inlineStr">
        <is>
          <t>Zip</t>
        </is>
      </c>
      <c r="J3" s="356" t="inlineStr">
        <is>
          <t>Country</t>
        </is>
      </c>
      <c r="K3" s="356" t="inlineStr">
        <is>
          <t>PO Box</t>
        </is>
      </c>
      <c r="L3" s="356" t="inlineStr">
        <is>
          <t>City</t>
        </is>
      </c>
      <c r="M3" s="356" t="inlineStr">
        <is>
          <t>State</t>
        </is>
      </c>
      <c r="N3" s="356" t="inlineStr">
        <is>
          <t>Zip</t>
        </is>
      </c>
      <c r="O3" s="356" t="inlineStr">
        <is>
          <t>Country</t>
        </is>
      </c>
      <c r="P3" s="356" t="inlineStr">
        <is>
          <t>PO Box</t>
        </is>
      </c>
      <c r="Q3" s="356" t="inlineStr">
        <is>
          <t>City</t>
        </is>
      </c>
      <c r="R3" s="356" t="inlineStr">
        <is>
          <t>State</t>
        </is>
      </c>
      <c r="S3" s="356" t="inlineStr">
        <is>
          <t>Zip</t>
        </is>
      </c>
      <c r="T3" s="356" t="inlineStr">
        <is>
          <t>Country</t>
        </is>
      </c>
      <c r="U3" s="404" t="n"/>
    </row>
    <row r="4" ht="21" customHeight="1" s="290">
      <c r="A4" s="340" t="inlineStr">
        <is>
          <t>Inhouse IT</t>
        </is>
      </c>
      <c r="B4" s="340" t="inlineStr">
        <is>
          <t>B5687254</t>
        </is>
      </c>
      <c r="C4" s="340" t="inlineStr">
        <is>
          <t>28394954AB</t>
        </is>
      </c>
      <c r="D4" s="405" t="inlineStr">
        <is>
          <t>+27 82 342 6789</t>
        </is>
      </c>
      <c r="E4" s="340" t="inlineStr">
        <is>
          <t>supplier@example.com</t>
        </is>
      </c>
      <c r="F4" s="340" t="inlineStr">
        <is>
          <t>22 Main</t>
        </is>
      </c>
      <c r="G4" s="340" t="inlineStr">
        <is>
          <t>Cape Town</t>
        </is>
      </c>
      <c r="H4" s="342" t="inlineStr">
        <is>
          <t>Western Cape</t>
        </is>
      </c>
      <c r="I4" s="340" t="n">
        <v>8001</v>
      </c>
      <c r="J4" s="340" t="inlineStr">
        <is>
          <t>South Africa</t>
        </is>
      </c>
      <c r="K4" s="340" t="inlineStr">
        <is>
          <t>Box 11</t>
        </is>
      </c>
      <c r="L4" s="340" t="inlineStr">
        <is>
          <t>Cape Town</t>
        </is>
      </c>
      <c r="M4" s="342" t="inlineStr">
        <is>
          <t>Western Cape</t>
        </is>
      </c>
      <c r="N4" s="340" t="n">
        <v>8001</v>
      </c>
      <c r="O4" s="340" t="inlineStr">
        <is>
          <t>South Africa</t>
        </is>
      </c>
      <c r="P4" s="340" t="inlineStr">
        <is>
          <t>Box 11</t>
        </is>
      </c>
      <c r="Q4" s="340" t="inlineStr">
        <is>
          <t>Cape Town</t>
        </is>
      </c>
      <c r="R4" s="342" t="inlineStr">
        <is>
          <t>Western Cape</t>
        </is>
      </c>
      <c r="S4" s="340" t="n">
        <v>8001</v>
      </c>
      <c r="T4" s="340" t="inlineStr">
        <is>
          <t>South Africa</t>
        </is>
      </c>
      <c r="U4" s="359" t="n"/>
    </row>
    <row r="5" ht="21" customHeight="1" s="290">
      <c r="A5" s="340" t="inlineStr">
        <is>
          <t>Inhouse QC</t>
        </is>
      </c>
      <c r="B5" s="340" t="n"/>
      <c r="C5" s="340" t="n"/>
      <c r="D5" s="405" t="inlineStr">
        <is>
          <t>+27 82 342 6789</t>
        </is>
      </c>
      <c r="E5" s="340" t="inlineStr">
        <is>
          <t>supplier@example.com</t>
        </is>
      </c>
      <c r="F5" s="340" t="inlineStr">
        <is>
          <t>22 Main</t>
        </is>
      </c>
      <c r="G5" s="340" t="inlineStr">
        <is>
          <t>Cape Town</t>
        </is>
      </c>
      <c r="H5" s="342" t="inlineStr">
        <is>
          <t>Western Cape</t>
        </is>
      </c>
      <c r="I5" s="340" t="n">
        <v>8001</v>
      </c>
      <c r="J5" s="340" t="inlineStr">
        <is>
          <t>South Africa</t>
        </is>
      </c>
      <c r="K5" s="340" t="inlineStr">
        <is>
          <t>Box 11</t>
        </is>
      </c>
      <c r="L5" s="340" t="inlineStr">
        <is>
          <t>Cape Town</t>
        </is>
      </c>
      <c r="M5" s="342" t="inlineStr">
        <is>
          <t>Western Cape</t>
        </is>
      </c>
      <c r="N5" s="340" t="n">
        <v>8001</v>
      </c>
      <c r="O5" s="340" t="inlineStr">
        <is>
          <t>South Africa</t>
        </is>
      </c>
      <c r="P5" s="340" t="inlineStr">
        <is>
          <t>Box 11</t>
        </is>
      </c>
      <c r="Q5" s="340" t="inlineStr">
        <is>
          <t>Cape Town</t>
        </is>
      </c>
      <c r="R5" s="342" t="inlineStr">
        <is>
          <t>Western Cape</t>
        </is>
      </c>
      <c r="S5" s="340" t="n">
        <v>8001</v>
      </c>
      <c r="T5" s="340" t="inlineStr">
        <is>
          <t>South Africa</t>
        </is>
      </c>
      <c r="U5" s="359" t="n"/>
    </row>
    <row r="6" ht="21" customHeight="1" s="290">
      <c r="A6" s="340" t="inlineStr">
        <is>
          <t>Bika Lab Systems</t>
        </is>
      </c>
      <c r="B6" s="340" t="inlineStr">
        <is>
          <t>TY76840</t>
        </is>
      </c>
      <c r="C6" s="340" t="inlineStr">
        <is>
          <t>VA62373849</t>
        </is>
      </c>
      <c r="D6" s="405" t="inlineStr">
        <is>
          <t>+27 82 342 6789</t>
        </is>
      </c>
      <c r="E6" s="340" t="inlineStr">
        <is>
          <t>supplier@example.com</t>
        </is>
      </c>
      <c r="F6" s="340" t="inlineStr">
        <is>
          <t>22 Main</t>
        </is>
      </c>
      <c r="G6" s="340" t="inlineStr">
        <is>
          <t>Cape Town</t>
        </is>
      </c>
      <c r="H6" s="342" t="inlineStr">
        <is>
          <t>Western Cape</t>
        </is>
      </c>
      <c r="I6" s="340" t="n">
        <v>8001</v>
      </c>
      <c r="J6" s="340" t="inlineStr">
        <is>
          <t>South Africa</t>
        </is>
      </c>
      <c r="K6" s="340" t="inlineStr">
        <is>
          <t>Box 11</t>
        </is>
      </c>
      <c r="L6" s="340" t="inlineStr">
        <is>
          <t>Cape Town</t>
        </is>
      </c>
      <c r="M6" s="342" t="inlineStr">
        <is>
          <t>Western Cape</t>
        </is>
      </c>
      <c r="N6" s="340" t="n">
        <v>8001</v>
      </c>
      <c r="O6" s="340" t="inlineStr">
        <is>
          <t>South Africa</t>
        </is>
      </c>
      <c r="P6" s="340" t="inlineStr">
        <is>
          <t>Box 11</t>
        </is>
      </c>
      <c r="Q6" s="340" t="inlineStr">
        <is>
          <t>Cape Town</t>
        </is>
      </c>
      <c r="R6" s="342" t="inlineStr">
        <is>
          <t>Western Cape</t>
        </is>
      </c>
      <c r="S6" s="340" t="n">
        <v>8001</v>
      </c>
      <c r="T6" s="340" t="inlineStr">
        <is>
          <t>South Africa</t>
        </is>
      </c>
      <c r="U6" s="359" t="n"/>
    </row>
    <row r="7" ht="21" customHeight="1" s="290">
      <c r="A7" s="359" t="inlineStr">
        <is>
          <t>Lab ZEX</t>
        </is>
      </c>
      <c r="B7" s="359" t="inlineStr">
        <is>
          <t>TY76840</t>
        </is>
      </c>
      <c r="C7" s="359" t="inlineStr">
        <is>
          <t>VA62373849</t>
        </is>
      </c>
      <c r="D7" s="405" t="inlineStr">
        <is>
          <t>+27 82 342 6789</t>
        </is>
      </c>
      <c r="E7" s="359" t="inlineStr">
        <is>
          <t>supplier@example.com</t>
        </is>
      </c>
      <c r="F7" s="340" t="inlineStr">
        <is>
          <t>22 Main</t>
        </is>
      </c>
      <c r="G7" s="340" t="inlineStr">
        <is>
          <t>Cape Town</t>
        </is>
      </c>
      <c r="H7" s="342" t="inlineStr">
        <is>
          <t>Western Cape</t>
        </is>
      </c>
      <c r="I7" s="340" t="n">
        <v>8001</v>
      </c>
      <c r="J7" s="340" t="inlineStr">
        <is>
          <t>South Africa</t>
        </is>
      </c>
      <c r="K7" s="340" t="inlineStr">
        <is>
          <t>Box 11</t>
        </is>
      </c>
      <c r="L7" s="340" t="inlineStr">
        <is>
          <t>Cape Town</t>
        </is>
      </c>
      <c r="M7" s="342" t="inlineStr">
        <is>
          <t>Western Cape</t>
        </is>
      </c>
      <c r="N7" s="340" t="n">
        <v>8001</v>
      </c>
      <c r="O7" s="340" t="inlineStr">
        <is>
          <t>South Africa</t>
        </is>
      </c>
      <c r="P7" s="359" t="inlineStr">
        <is>
          <t>Box 11</t>
        </is>
      </c>
      <c r="Q7" s="359" t="inlineStr">
        <is>
          <t>Cape Town</t>
        </is>
      </c>
      <c r="R7" s="296" t="inlineStr">
        <is>
          <t>Western Cape</t>
        </is>
      </c>
      <c r="S7" s="359" t="n">
        <v>8001</v>
      </c>
      <c r="T7" s="359" t="inlineStr">
        <is>
          <t>South Africa</t>
        </is>
      </c>
      <c r="U7" s="359" t="n"/>
    </row>
    <row r="8" ht="21" customHeight="1" s="290">
      <c r="A8" s="359" t="inlineStr">
        <is>
          <t>Instruments Inc.</t>
        </is>
      </c>
      <c r="B8" s="359" t="inlineStr">
        <is>
          <t>Bika70986</t>
        </is>
      </c>
      <c r="C8" s="359" t="inlineStr">
        <is>
          <t>738495490cd</t>
        </is>
      </c>
      <c r="D8" s="405" t="inlineStr">
        <is>
          <t>+27 82 342 6789</t>
        </is>
      </c>
      <c r="E8" s="359" t="inlineStr">
        <is>
          <t>supplier@example.com</t>
        </is>
      </c>
      <c r="F8" s="340" t="inlineStr">
        <is>
          <t>22 Main</t>
        </is>
      </c>
      <c r="G8" s="340" t="inlineStr">
        <is>
          <t>Cape Town</t>
        </is>
      </c>
      <c r="H8" s="342" t="inlineStr">
        <is>
          <t>Western Cape</t>
        </is>
      </c>
      <c r="I8" s="340" t="n">
        <v>8001</v>
      </c>
      <c r="J8" s="340" t="inlineStr">
        <is>
          <t>South Africa</t>
        </is>
      </c>
      <c r="K8" s="340" t="inlineStr">
        <is>
          <t>Box 11</t>
        </is>
      </c>
      <c r="L8" s="340" t="inlineStr">
        <is>
          <t>Cape Town</t>
        </is>
      </c>
      <c r="M8" s="342" t="inlineStr">
        <is>
          <t>Western Cape</t>
        </is>
      </c>
      <c r="N8" s="340" t="n">
        <v>8001</v>
      </c>
      <c r="O8" s="340" t="inlineStr">
        <is>
          <t>South Africa</t>
        </is>
      </c>
      <c r="P8" s="359" t="inlineStr">
        <is>
          <t>Box 11</t>
        </is>
      </c>
      <c r="Q8" s="359" t="inlineStr">
        <is>
          <t>Cape Town</t>
        </is>
      </c>
      <c r="R8" s="296" t="inlineStr">
        <is>
          <t>Western Cape</t>
        </is>
      </c>
      <c r="S8" s="359" t="n">
        <v>8001</v>
      </c>
      <c r="T8" s="359" t="inlineStr">
        <is>
          <t>South Africa</t>
        </is>
      </c>
      <c r="U8" s="359" t="n"/>
    </row>
    <row r="9" ht="21" customHeight="1" s="290">
      <c r="A9" s="359" t="inlineStr">
        <is>
          <t>Reference Corp.</t>
        </is>
      </c>
      <c r="B9" s="359" t="inlineStr">
        <is>
          <t>Bika8790-</t>
        </is>
      </c>
      <c r="C9" s="359" t="inlineStr">
        <is>
          <t>64839230-FG</t>
        </is>
      </c>
      <c r="D9" s="405" t="inlineStr">
        <is>
          <t>+27 82 342 6789</t>
        </is>
      </c>
      <c r="E9" s="359" t="inlineStr">
        <is>
          <t>supplier@example.com</t>
        </is>
      </c>
      <c r="F9" s="340" t="inlineStr">
        <is>
          <t>22 Main</t>
        </is>
      </c>
      <c r="G9" s="340" t="inlineStr">
        <is>
          <t>Cape Town</t>
        </is>
      </c>
      <c r="H9" s="342" t="inlineStr">
        <is>
          <t>Western Cape</t>
        </is>
      </c>
      <c r="I9" s="340" t="n">
        <v>8001</v>
      </c>
      <c r="J9" s="340" t="inlineStr">
        <is>
          <t>South Africa</t>
        </is>
      </c>
      <c r="K9" s="340" t="inlineStr">
        <is>
          <t>Box 11</t>
        </is>
      </c>
      <c r="L9" s="340" t="inlineStr">
        <is>
          <t>Cape Town</t>
        </is>
      </c>
      <c r="M9" s="342" t="inlineStr">
        <is>
          <t>Western Cape</t>
        </is>
      </c>
      <c r="N9" s="340" t="n">
        <v>8001</v>
      </c>
      <c r="O9" s="340" t="inlineStr">
        <is>
          <t>South Africa</t>
        </is>
      </c>
      <c r="P9" s="359" t="inlineStr">
        <is>
          <t>Box 11</t>
        </is>
      </c>
      <c r="Q9" s="359" t="inlineStr">
        <is>
          <t>Cape Town</t>
        </is>
      </c>
      <c r="R9" s="296" t="inlineStr">
        <is>
          <t>Western Cape</t>
        </is>
      </c>
      <c r="S9" s="359" t="n">
        <v>8001</v>
      </c>
      <c r="T9" s="359" t="inlineStr">
        <is>
          <t>South Africa</t>
        </is>
      </c>
      <c r="U9" s="359" t="n"/>
    </row>
  </sheetData>
  <mergeCells count="3">
    <mergeCell ref="P2:T2"/>
    <mergeCell ref="F2:J2"/>
    <mergeCell ref="K2:O2"/>
  </mergeCells>
  <conditionalFormatting sqref="A1:U1">
    <cfRule type="expression" rank="0" priority="2" equalAverage="0" aboveAverage="0" dxfId="0" text="" percent="0" bottom="0">
      <formula>LEN(TRIM(A1))=0</formula>
    </cfRule>
  </conditionalFormatting>
  <dataValidations count="1">
    <dataValidation sqref="J4:J9 O4:O9 T4:T9" showDropDown="0" showInputMessage="0" showErrorMessage="0" allowBlank="1" type="list" errorStyle="stop" operator="equal">
      <formula1>'Countries, Currencies'!$B$3:$B$251</formula1>
      <formula2>0</formula2>
    </dataValidation>
  </dataValidation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tabColor rgb="FF5DD727"/>
    <outlinePr summaryBelow="1" summaryRight="1"/>
    <pageSetUpPr fitToPage="0"/>
  </sheetPr>
  <dimension ref="A1:U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2.43" customWidth="1" style="289" min="1" max="1"/>
    <col width="11.97" customWidth="1" style="289" min="2" max="2"/>
    <col width="15.75" customWidth="1" style="289" min="3" max="3"/>
    <col width="13.1" customWidth="1" style="289" min="4" max="4"/>
    <col hidden="1" outlineLevel="1" width="13.23" customWidth="1" style="289" min="5" max="6"/>
    <col width="14.88" customWidth="1" style="289" min="7" max="7"/>
    <col outlineLevel="1" width="14.88" customWidth="1" style="289" min="8" max="9"/>
    <col width="14.88" customWidth="1" style="289" min="10" max="10"/>
    <col width="18.64" customWidth="1" style="289" min="11" max="11"/>
    <col outlineLevel="1" width="12.72" customWidth="1" style="289" min="12" max="13"/>
    <col outlineLevel="1" width="6.43" customWidth="1" style="289" min="14" max="14"/>
    <col outlineLevel="1" width="12.72" customWidth="1" style="289" min="15" max="15"/>
    <col width="18.64" customWidth="1" style="289" min="16" max="16"/>
    <col outlineLevel="1" width="12.72" customWidth="1" style="289" min="17" max="18"/>
    <col outlineLevel="1" width="6.43" customWidth="1" style="289" min="19" max="19"/>
    <col outlineLevel="1" width="12.72" customWidth="1" style="289" min="20" max="20"/>
    <col width="27.21" customWidth="1" style="289" min="21" max="21"/>
    <col width="12.72" customWidth="1" style="289" min="22" max="1024"/>
  </cols>
  <sheetData>
    <row r="1" hidden="1" ht="28.5" customHeight="1" s="290">
      <c r="A1" s="303" t="inlineStr">
        <is>
          <t>Supplier_Name</t>
        </is>
      </c>
      <c r="B1" s="303" t="inlineStr">
        <is>
          <t>Salutation</t>
        </is>
      </c>
      <c r="C1" s="303" t="inlineStr">
        <is>
          <t>Firstname</t>
        </is>
      </c>
      <c r="D1" s="303" t="inlineStr">
        <is>
          <t>Surname</t>
        </is>
      </c>
      <c r="E1" s="303" t="inlineStr">
        <is>
          <t>JobTitle</t>
        </is>
      </c>
      <c r="F1" s="324" t="inlineStr">
        <is>
          <t>Department</t>
        </is>
      </c>
      <c r="G1" s="406" t="inlineStr">
        <is>
          <t>BusinessPhone</t>
        </is>
      </c>
      <c r="H1" s="407" t="inlineStr">
        <is>
          <t>HomePhone</t>
        </is>
      </c>
      <c r="I1" s="406" t="inlineStr">
        <is>
          <t>MobilePhone</t>
        </is>
      </c>
      <c r="J1" s="303" t="inlineStr">
        <is>
          <t>EmailAddress</t>
        </is>
      </c>
      <c r="K1" s="380" t="inlineStr">
        <is>
          <t>Physical_Address</t>
        </is>
      </c>
      <c r="L1" s="400" t="inlineStr">
        <is>
          <t>Physical_City</t>
        </is>
      </c>
      <c r="M1" s="400" t="inlineStr">
        <is>
          <t>Physical_State</t>
        </is>
      </c>
      <c r="N1" s="380" t="inlineStr">
        <is>
          <t>Physical_Zip</t>
        </is>
      </c>
      <c r="O1" s="380" t="inlineStr">
        <is>
          <t>Physical_Country</t>
        </is>
      </c>
      <c r="P1" s="380" t="inlineStr">
        <is>
          <t>Postal_Address</t>
        </is>
      </c>
      <c r="Q1" s="400" t="inlineStr">
        <is>
          <t>Postal_City</t>
        </is>
      </c>
      <c r="R1" s="400" t="inlineStr">
        <is>
          <t>Postal_State</t>
        </is>
      </c>
      <c r="S1" s="380" t="inlineStr">
        <is>
          <t>Postal_Zip</t>
        </is>
      </c>
      <c r="T1" s="380" t="inlineStr">
        <is>
          <t>Postal_Country</t>
        </is>
      </c>
      <c r="U1" s="303" t="n"/>
    </row>
    <row r="2" ht="37.5" customHeight="1" s="290">
      <c r="A2" s="343" t="inlineStr">
        <is>
          <t>Supplier Contacts</t>
        </is>
      </c>
      <c r="B2" s="408" t="n"/>
      <c r="C2" s="327" t="n"/>
      <c r="D2" s="328" t="n"/>
      <c r="E2" s="408" t="n"/>
      <c r="F2" s="328" t="n"/>
      <c r="G2" s="403" t="inlineStr">
        <is>
          <t>Phone</t>
        </is>
      </c>
      <c r="H2" s="331" t="n"/>
      <c r="I2" s="332" t="n"/>
      <c r="J2" s="309" t="n"/>
      <c r="K2" s="354" t="inlineStr">
        <is>
          <t>Physical Address</t>
        </is>
      </c>
      <c r="L2" s="331" t="n"/>
      <c r="M2" s="331" t="n"/>
      <c r="N2" s="331" t="n"/>
      <c r="O2" s="332" t="n"/>
      <c r="P2" s="354" t="inlineStr">
        <is>
          <t>Postal Address</t>
        </is>
      </c>
      <c r="Q2" s="331" t="n"/>
      <c r="R2" s="331" t="n"/>
      <c r="S2" s="331" t="n"/>
      <c r="T2" s="332" t="n"/>
      <c r="U2" s="307">
        <f>HYPERLINK("https://www.bikalabs.com","Creative Commons BYSA
Bika Lab Systems")</f>
        <v/>
      </c>
    </row>
    <row r="3" ht="24" customHeight="1" s="290">
      <c r="A3" s="334" t="inlineStr">
        <is>
          <t>⭐ Supplier Title</t>
        </is>
      </c>
      <c r="B3" s="356" t="inlineStr">
        <is>
          <t>Salutation</t>
        </is>
      </c>
      <c r="C3" s="334" t="inlineStr">
        <is>
          <t>⭐ First name</t>
        </is>
      </c>
      <c r="D3" s="334" t="inlineStr">
        <is>
          <t>⭐ Surname</t>
        </is>
      </c>
      <c r="E3" s="356" t="inlineStr">
        <is>
          <t>Job Title</t>
        </is>
      </c>
      <c r="F3" s="356" t="inlineStr">
        <is>
          <t>Department</t>
        </is>
      </c>
      <c r="G3" s="403" t="inlineStr">
        <is>
          <t>Business</t>
        </is>
      </c>
      <c r="H3" s="356" t="inlineStr">
        <is>
          <t>Home</t>
        </is>
      </c>
      <c r="I3" s="403" t="inlineStr">
        <is>
          <t>Mobile</t>
        </is>
      </c>
      <c r="J3" s="356" t="inlineStr">
        <is>
          <t>Email</t>
        </is>
      </c>
      <c r="K3" s="356" t="inlineStr">
        <is>
          <t>Buiding/Street</t>
        </is>
      </c>
      <c r="L3" s="356" t="inlineStr">
        <is>
          <t>City</t>
        </is>
      </c>
      <c r="M3" s="356" t="inlineStr">
        <is>
          <t>State</t>
        </is>
      </c>
      <c r="N3" s="356" t="inlineStr">
        <is>
          <t>Zip</t>
        </is>
      </c>
      <c r="O3" s="356" t="inlineStr">
        <is>
          <t>Country</t>
        </is>
      </c>
      <c r="P3" s="356" t="inlineStr">
        <is>
          <t>PO Box</t>
        </is>
      </c>
      <c r="Q3" s="356" t="inlineStr">
        <is>
          <t>City</t>
        </is>
      </c>
      <c r="R3" s="356" t="inlineStr">
        <is>
          <t>State</t>
        </is>
      </c>
      <c r="S3" s="356" t="inlineStr">
        <is>
          <t>Zip</t>
        </is>
      </c>
      <c r="T3" s="356" t="inlineStr">
        <is>
          <t>Country</t>
        </is>
      </c>
      <c r="U3" s="409" t="n"/>
    </row>
    <row r="4" ht="24" customHeight="1" s="290">
      <c r="A4" s="399" t="inlineStr">
        <is>
          <t>Instruments Inc.</t>
        </is>
      </c>
      <c r="B4" s="360" t="inlineStr">
        <is>
          <t>Ms</t>
        </is>
      </c>
      <c r="C4" s="399" t="inlineStr">
        <is>
          <t>Ingrid</t>
        </is>
      </c>
      <c r="D4" s="399" t="inlineStr">
        <is>
          <t>Instrument</t>
        </is>
      </c>
      <c r="E4" s="360" t="inlineStr">
        <is>
          <t>Rep</t>
        </is>
      </c>
      <c r="F4" s="360" t="inlineStr">
        <is>
          <t>Sales</t>
        </is>
      </c>
      <c r="G4" s="371" t="inlineStr">
        <is>
          <t>021 798 6786</t>
        </is>
      </c>
      <c r="H4" s="371" t="inlineStr">
        <is>
          <t>021 798 6786</t>
        </is>
      </c>
      <c r="I4" s="371" t="inlineStr">
        <is>
          <t>083 899 1267</t>
        </is>
      </c>
      <c r="J4" s="359" t="inlineStr">
        <is>
          <t>ingrid@example.com</t>
        </is>
      </c>
      <c r="K4" s="360" t="inlineStr">
        <is>
          <t>Milner</t>
        </is>
      </c>
      <c r="L4" s="360" t="inlineStr">
        <is>
          <t>Cape Town</t>
        </is>
      </c>
      <c r="M4" s="360" t="inlineStr">
        <is>
          <t>Western Cape</t>
        </is>
      </c>
      <c r="N4" s="360" t="n">
        <v>8001</v>
      </c>
      <c r="O4" s="360" t="inlineStr">
        <is>
          <t>South Africa</t>
        </is>
      </c>
      <c r="P4" s="360" t="inlineStr">
        <is>
          <t>Box 10</t>
        </is>
      </c>
      <c r="Q4" s="360" t="inlineStr">
        <is>
          <t>Cape Town</t>
        </is>
      </c>
      <c r="R4" s="360" t="inlineStr">
        <is>
          <t>Western Cape</t>
        </is>
      </c>
      <c r="S4" s="360" t="n">
        <v>8001</v>
      </c>
      <c r="T4" s="360" t="inlineStr">
        <is>
          <t>South Africa</t>
        </is>
      </c>
      <c r="U4" s="410" t="n"/>
    </row>
  </sheetData>
  <mergeCells count="3">
    <mergeCell ref="G2:I2"/>
    <mergeCell ref="P2:T2"/>
    <mergeCell ref="K2:O2"/>
  </mergeCells>
  <conditionalFormatting sqref="A1:U1">
    <cfRule type="expression" rank="0" priority="2" equalAverage="0" aboveAverage="0" dxfId="0" text="" percent="0" bottom="0">
      <formula>LEN(TRIM(A1))=0</formula>
    </cfRule>
  </conditionalFormatting>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tabColor rgb="FFB7B7B7"/>
    <outlinePr summaryBelow="1" summaryRight="1"/>
    <pageSetUpPr fitToPage="0"/>
  </sheetPr>
  <dimension ref="A1:C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2.93" customWidth="1" style="289" min="1" max="1"/>
    <col width="49.12" customWidth="1" style="289" min="2" max="2"/>
    <col width="25.95" customWidth="1" style="289" min="3" max="3"/>
    <col width="12.72" customWidth="1" style="289" min="4" max="1024"/>
  </cols>
  <sheetData>
    <row r="1" hidden="1" ht="28.5" customHeight="1" s="290">
      <c r="A1" s="303" t="inlineStr">
        <is>
          <t>title</t>
        </is>
      </c>
      <c r="B1" s="303" t="inlineStr">
        <is>
          <t>description</t>
        </is>
      </c>
      <c r="C1" s="303" t="n"/>
    </row>
    <row r="2" ht="37.5" customHeight="1" s="290">
      <c r="A2" s="343">
        <f>HYPERLINK("https://www.bikalims.org/manual/instrument-interfacing/instrument-configuration","Manufacturers")</f>
        <v/>
      </c>
      <c r="B2" s="327" t="n"/>
      <c r="C2" s="307">
        <f>HYPERLINK("https://www.bikalabs.com","Creative Commons BYSA
Bika Lab Systems")</f>
        <v/>
      </c>
    </row>
    <row r="3" ht="24" customHeight="1" s="290">
      <c r="A3" s="334" t="inlineStr">
        <is>
          <t>⭐ Title</t>
        </is>
      </c>
      <c r="B3" s="334" t="inlineStr">
        <is>
          <t>Description</t>
        </is>
      </c>
      <c r="C3" s="349" t="n"/>
    </row>
    <row r="4" ht="21" customHeight="1" s="290">
      <c r="A4" s="411" t="inlineStr">
        <is>
          <t>Unknown</t>
        </is>
      </c>
      <c r="B4" s="411" t="n"/>
      <c r="C4" s="317" t="n"/>
    </row>
  </sheetData>
  <conditionalFormatting sqref="A1:C1">
    <cfRule type="expression" rank="0" priority="2" equalAverage="0" aboveAverage="0" dxfId="0" text="" percent="0" bottom="0">
      <formula>LEN(TRIM(A1))=0</formula>
    </cfRule>
  </conditionalFormatting>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tabColor rgb="FF5DD727"/>
    <outlinePr summaryBelow="1" summaryRight="1"/>
    <pageSetUpPr fitToPage="0"/>
  </sheetPr>
  <dimension ref="A1:D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9.87" customWidth="1" style="289" min="1" max="1"/>
    <col width="52.15" customWidth="1" style="289" min="2" max="2"/>
    <col width="71.31" customWidth="1" style="289" min="3" max="3"/>
    <col width="19.52" customWidth="1" style="289" min="4" max="4"/>
    <col width="12.72" customWidth="1" style="289" min="5" max="1024"/>
  </cols>
  <sheetData>
    <row r="1" hidden="1" ht="28.5" customHeight="1" s="290">
      <c r="A1" s="303" t="inlineStr">
        <is>
          <t>title</t>
        </is>
      </c>
      <c r="B1" s="303" t="inlineStr">
        <is>
          <t>description</t>
        </is>
      </c>
      <c r="C1" s="303" t="inlineStr">
        <is>
          <t>Formula</t>
        </is>
      </c>
      <c r="D1" s="303" t="n"/>
    </row>
    <row r="2" ht="37.5" customHeight="1" s="290">
      <c r="A2" s="325" t="inlineStr">
        <is>
          <t>Results Calculations</t>
        </is>
      </c>
      <c r="C2" s="327" t="n"/>
      <c r="D2" s="307">
        <f>HYPERLINK("https://www.bikalabs.com","Creative Commons BYSA
Bika Lab Systems")</f>
        <v/>
      </c>
    </row>
    <row r="3" ht="24" customHeight="1" s="290">
      <c r="A3" s="356" t="inlineStr">
        <is>
          <t>⭐ Title</t>
        </is>
      </c>
      <c r="B3" s="356" t="inlineStr">
        <is>
          <t>Description</t>
        </is>
      </c>
      <c r="C3" s="356" t="inlineStr">
        <is>
          <t>Formula</t>
        </is>
      </c>
      <c r="D3" s="310" t="n"/>
    </row>
    <row r="4" ht="21" customHeight="1" s="290">
      <c r="A4" s="359" t="inlineStr">
        <is>
          <t>Dilution</t>
        </is>
      </c>
      <c r="B4" s="359" t="inlineStr">
        <is>
          <t>Grcsup radox infinetto</t>
        </is>
      </c>
      <c r="C4" s="359" t="inlineStr">
        <is>
          <t>[Reading] * [Factor]</t>
        </is>
      </c>
      <c r="D4" s="359" t="n"/>
    </row>
  </sheetData>
  <mergeCells count="1">
    <mergeCell ref="A2:B2"/>
  </mergeCells>
  <conditionalFormatting sqref="A1:D1">
    <cfRule type="expression" rank="0" priority="2" equalAverage="0" aboveAverage="0" dxfId="0" text="" percent="0" bottom="0">
      <formula>LEN(TRIM(A1))=0</formula>
    </cfRule>
  </conditionalFormatting>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tabColor rgb="FF5DD727"/>
    <outlinePr summaryBelow="1" summaryRight="1"/>
    <pageSetUpPr fitToPage="0"/>
  </sheetPr>
  <dimension ref="A1:G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9.87" customWidth="1" style="289" min="1" max="1"/>
    <col width="17.12" customWidth="1" style="289" min="2" max="2"/>
    <col width="28.22" customWidth="1" style="289" min="3" max="3"/>
    <col width="13.1" customWidth="1" style="289" min="4" max="4"/>
    <col width="15.11" customWidth="1" style="289" min="5" max="5"/>
    <col width="9.83" customWidth="1" style="289" min="6" max="6"/>
    <col width="23.31" customWidth="1" style="289" min="7" max="7"/>
    <col width="12.72" customWidth="1" style="289" min="8" max="1024"/>
  </cols>
  <sheetData>
    <row r="1" hidden="1" ht="28.5" customHeight="1" s="290">
      <c r="A1" s="362" t="inlineStr">
        <is>
          <t>Calculation_title</t>
        </is>
      </c>
      <c r="B1" s="303" t="inlineStr">
        <is>
          <t>keyword</t>
        </is>
      </c>
      <c r="C1" s="303" t="inlineStr">
        <is>
          <t>title</t>
        </is>
      </c>
      <c r="D1" s="324" t="inlineStr">
        <is>
          <t>hidden</t>
        </is>
      </c>
      <c r="E1" s="303" t="inlineStr">
        <is>
          <t>value</t>
        </is>
      </c>
      <c r="F1" s="324" t="inlineStr">
        <is>
          <t>unit</t>
        </is>
      </c>
      <c r="G1" s="303" t="n"/>
    </row>
    <row r="2" ht="34.5" customHeight="1" s="290">
      <c r="A2" s="325" t="inlineStr">
        <is>
          <t>Calculation Interim fields</t>
        </is>
      </c>
      <c r="B2" s="326" t="n"/>
      <c r="C2" s="329" t="n"/>
      <c r="D2" s="326" t="n"/>
      <c r="E2" s="327" t="n"/>
      <c r="F2" s="326" t="n"/>
      <c r="G2" s="307">
        <f>HYPERLINK("https://www.bikalabs.com","Creative Commons BYSA
Bika Lab Systems")</f>
        <v/>
      </c>
    </row>
    <row r="3" ht="24" customHeight="1" s="290">
      <c r="A3" s="356" t="inlineStr">
        <is>
          <t>⭐ Calculation title</t>
        </is>
      </c>
      <c r="B3" s="356" t="inlineStr">
        <is>
          <t>⭐ Keyword</t>
        </is>
      </c>
      <c r="C3" s="356" t="inlineStr">
        <is>
          <t>⭐ Title</t>
        </is>
      </c>
      <c r="D3" s="356" t="inlineStr">
        <is>
          <t>Hidden? Y/N</t>
        </is>
      </c>
      <c r="E3" s="356" t="inlineStr">
        <is>
          <t>Default value</t>
        </is>
      </c>
      <c r="F3" s="356" t="inlineStr">
        <is>
          <t>Unit</t>
        </is>
      </c>
      <c r="G3" s="412" t="n"/>
    </row>
    <row r="4" ht="21" customHeight="1" s="290">
      <c r="A4" s="359" t="inlineStr">
        <is>
          <t>Dilution</t>
        </is>
      </c>
      <c r="B4" s="359" t="inlineStr">
        <is>
          <t>Factor</t>
        </is>
      </c>
      <c r="C4" s="390" t="inlineStr">
        <is>
          <t>Factor</t>
        </is>
      </c>
      <c r="D4" s="360" t="n">
        <v>0</v>
      </c>
      <c r="E4" s="360" t="n">
        <v>1</v>
      </c>
      <c r="F4" s="360" t="n"/>
      <c r="G4" s="390" t="n"/>
    </row>
    <row r="5" ht="21" customHeight="1" s="290">
      <c r="A5" s="359" t="inlineStr">
        <is>
          <t>Dilution</t>
        </is>
      </c>
      <c r="B5" s="359" t="inlineStr">
        <is>
          <t>Reading</t>
        </is>
      </c>
      <c r="C5" s="359" t="inlineStr">
        <is>
          <t>Reading</t>
        </is>
      </c>
      <c r="D5" s="360" t="n">
        <v>0</v>
      </c>
      <c r="E5" s="360" t="n">
        <v>0</v>
      </c>
      <c r="F5" s="360" t="inlineStr">
        <is>
          <t>mg/L</t>
        </is>
      </c>
      <c r="G5" s="390" t="n"/>
    </row>
  </sheetData>
  <conditionalFormatting sqref="A1:G1">
    <cfRule type="expression" rank="0" priority="2" equalAverage="0" aboveAverage="0" dxfId="0" text="" percent="0" bottom="0">
      <formula>LEN(TRIM(A1))=0</formula>
    </cfRule>
  </conditionalFormatting>
  <conditionalFormatting sqref="A4:A5">
    <cfRule type="expression" rank="0" priority="3" equalAverage="0" aboveAverage="0" dxfId="3" text="" percent="0" bottom="0">
      <formula>NOT(COUNTIF(INDIRECT("Calculations!"&amp;"A$4:A"),A4)&gt;0)*NOT(ISBLANK(A4))</formula>
    </cfRule>
  </conditionalFormatting>
  <dataValidations count="3">
    <dataValidation sqref="A4:A5" showDropDown="0" showInputMessage="0" showErrorMessage="0" allowBlank="1" type="list" errorStyle="stop" operator="equal">
      <formula1>Calculations!$A$4:$A5</formula1>
      <formula2>0</formula2>
    </dataValidation>
    <dataValidation sqref="D4:D5" showDropDown="0" showInputMessage="0" showErrorMessage="1" allowBlank="1" type="list" errorStyle="stop" operator="equal">
      <formula1>"0,1"</formula1>
      <formula2>0</formula2>
    </dataValidation>
    <dataValidation sqref="F4:F5" showDropDown="0" showInputMessage="0" showErrorMessage="0" allowBlank="1" type="list" errorStyle="stop" operator="equal">
      <formula1>Units!$A$4:$A5</formula1>
      <formula2>0</formula2>
    </dataValidation>
  </dataValidation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tabColor rgb="FFFFFF00"/>
    <outlinePr summaryBelow="1" summaryRight="1"/>
    <pageSetUpPr fitToPage="0"/>
  </sheetPr>
  <dimension ref="A1:V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14.99" customWidth="1" style="289" min="1" max="1"/>
    <col width="24.07" customWidth="1" style="289" min="2" max="2"/>
    <col outlineLevel="1" width="21.3" customWidth="1" style="289" min="3" max="3"/>
    <col width="14.74" customWidth="1" style="289" min="4" max="4"/>
    <col width="16.13" customWidth="1" style="289" min="5" max="5"/>
    <col width="30.61" customWidth="1" style="289" min="6" max="6"/>
    <col hidden="1" outlineLevel="1" width="12.97" customWidth="1" style="289" min="7" max="8"/>
    <col width="12.72" customWidth="1" style="289" min="9" max="9"/>
    <col outlineLevel="1" width="12.72" customWidth="1" style="289" min="10" max="10"/>
    <col outlineLevel="1" width="19.91" customWidth="1" style="289" min="11" max="11"/>
    <col outlineLevel="1" width="12.72" customWidth="1" style="289" min="12" max="12"/>
    <col width="7.44" customWidth="1" style="289" min="13" max="13"/>
    <col outlineLevel="1" width="7.44" customWidth="1" style="289" min="14" max="16"/>
    <col width="12.72" customWidth="1" style="289" min="17" max="17"/>
    <col outlineLevel="1" width="12.72" customWidth="1" style="289" min="18" max="18"/>
    <col width="24.07" customWidth="1" style="289" min="19" max="22"/>
    <col width="12.72" customWidth="1" style="289" min="23" max="1024"/>
  </cols>
  <sheetData>
    <row r="1" hidden="1" ht="28.5" customHeight="1" s="290">
      <c r="A1" s="303" t="inlineStr">
        <is>
          <t>assetnumber</t>
        </is>
      </c>
      <c r="B1" s="303" t="inlineStr">
        <is>
          <t>title</t>
        </is>
      </c>
      <c r="C1" s="303" t="inlineStr">
        <is>
          <t>description</t>
        </is>
      </c>
      <c r="D1" s="303" t="inlineStr">
        <is>
          <t>Type</t>
        </is>
      </c>
      <c r="E1" s="303" t="inlineStr">
        <is>
          <t>Brand</t>
        </is>
      </c>
      <c r="F1" s="324" t="inlineStr">
        <is>
          <t>Supplier</t>
        </is>
      </c>
      <c r="G1" s="303" t="inlineStr">
        <is>
          <t>Model</t>
        </is>
      </c>
      <c r="H1" s="324" t="inlineStr">
        <is>
          <t>SerialNo</t>
        </is>
      </c>
      <c r="I1" s="303" t="inlineStr">
        <is>
          <t>Location</t>
        </is>
      </c>
      <c r="J1" s="303" t="inlineStr">
        <is>
          <t>Instalationdate</t>
        </is>
      </c>
      <c r="K1" s="303" t="inlineStr">
        <is>
          <t>InstalationCertificate</t>
        </is>
      </c>
      <c r="L1" s="303" t="inlineStr">
        <is>
          <t>Photo</t>
        </is>
      </c>
      <c r="M1" s="303" t="inlineStr">
        <is>
          <t>UserManualFile</t>
        </is>
      </c>
      <c r="N1" s="303" t="inlineStr">
        <is>
          <t>UserManualID</t>
        </is>
      </c>
      <c r="O1" s="303" t="inlineStr">
        <is>
          <t>UserManualVersion</t>
        </is>
      </c>
      <c r="P1" s="303" t="inlineStr">
        <is>
          <t>UserManualLocation</t>
        </is>
      </c>
      <c r="Q1" s="303" t="inlineStr">
        <is>
          <t>DataInterface</t>
        </is>
      </c>
      <c r="R1" s="303" t="inlineStr">
        <is>
          <t>DataInterfaceOptions</t>
        </is>
      </c>
      <c r="S1" s="303" t="n"/>
      <c r="T1" s="303" t="n"/>
      <c r="U1" s="303" t="n"/>
      <c r="V1" s="303" t="n"/>
    </row>
    <row r="2" ht="35.25" customHeight="1" s="290">
      <c r="A2" s="325">
        <f>HYPERLINK("https://www.bikalims.org/manual/instrument-interfacing/instrument-configuration","Lab Instruments")</f>
        <v/>
      </c>
      <c r="K2" s="413" t="inlineStr">
        <is>
          <t>Uploads</t>
        </is>
      </c>
      <c r="L2" s="414" t="n"/>
      <c r="M2" s="413" t="inlineStr">
        <is>
          <t>User Manual</t>
        </is>
      </c>
      <c r="N2" s="415" t="n"/>
      <c r="O2" s="415" t="n"/>
      <c r="P2" s="414" t="n"/>
      <c r="Q2" s="416" t="inlineStr">
        <is>
          <t>Interface</t>
        </is>
      </c>
      <c r="R2" s="414" t="n"/>
      <c r="S2" s="307">
        <f>HYPERLINK("https://www.bikalabs.com","Creative Commons BYSA
Bika Lab Systems")</f>
        <v/>
      </c>
      <c r="T2" s="366" t="n"/>
      <c r="U2" s="366" t="n"/>
      <c r="V2" s="366" t="n"/>
    </row>
    <row r="3" ht="35.25" customHeight="1" s="290">
      <c r="A3" s="334" t="inlineStr">
        <is>
          <t>Asset number</t>
        </is>
      </c>
      <c r="B3" s="334" t="inlineStr">
        <is>
          <t>⭐  Title
On the lab floor</t>
        </is>
      </c>
      <c r="C3" s="334" t="inlineStr">
        <is>
          <t>Description</t>
        </is>
      </c>
      <c r="D3" s="334" t="inlineStr">
        <is>
          <t>⭐  Instrument type</t>
        </is>
      </c>
      <c r="E3" s="334" t="inlineStr">
        <is>
          <t>⭐  Manufacturer</t>
        </is>
      </c>
      <c r="F3" s="334" t="inlineStr">
        <is>
          <t>⭐  Supplier</t>
        </is>
      </c>
      <c r="G3" s="334" t="inlineStr">
        <is>
          <t>Model</t>
        </is>
      </c>
      <c r="H3" s="334" t="inlineStr">
        <is>
          <t>Serial no</t>
        </is>
      </c>
      <c r="I3" s="417" t="inlineStr">
        <is>
          <t>Location</t>
        </is>
      </c>
      <c r="J3" s="334" t="inlineStr">
        <is>
          <t>Install date</t>
        </is>
      </c>
      <c r="K3" s="418" t="inlineStr">
        <is>
          <t>Installation Certificate</t>
        </is>
      </c>
      <c r="L3" s="418" t="inlineStr">
        <is>
          <t>Photo</t>
        </is>
      </c>
      <c r="M3" s="418" t="inlineStr">
        <is>
          <t>Upload file</t>
        </is>
      </c>
      <c r="N3" s="418" t="inlineStr">
        <is>
          <t>ID</t>
        </is>
      </c>
      <c r="O3" s="418" t="inlineStr">
        <is>
          <t>Version</t>
        </is>
      </c>
      <c r="P3" s="418" t="inlineStr">
        <is>
          <t>Location</t>
        </is>
      </c>
      <c r="Q3" s="419" t="inlineStr">
        <is>
          <t>Title</t>
        </is>
      </c>
      <c r="R3" s="419" t="inlineStr">
        <is>
          <t>Options</t>
        </is>
      </c>
      <c r="S3" s="420" t="n"/>
      <c r="T3" s="420" t="n"/>
      <c r="U3" s="420" t="n"/>
      <c r="V3" s="420" t="n"/>
    </row>
    <row r="4" ht="21" customHeight="1" s="290">
      <c r="A4" s="337" t="inlineStr">
        <is>
          <t>Inst22-001</t>
        </is>
      </c>
      <c r="B4" s="296" t="inlineStr">
        <is>
          <t>Balance</t>
        </is>
      </c>
      <c r="C4" s="296" t="inlineStr">
        <is>
          <t>Ipsem lorem van der merwex xcocet</t>
        </is>
      </c>
      <c r="D4" s="317" t="inlineStr">
        <is>
          <t>Unknown</t>
        </is>
      </c>
      <c r="E4" s="317" t="inlineStr">
        <is>
          <t>Unknown</t>
        </is>
      </c>
      <c r="F4" s="359" t="inlineStr">
        <is>
          <t>Instruments Inc.</t>
        </is>
      </c>
      <c r="G4" s="317" t="inlineStr">
        <is>
          <t>GTS 5</t>
        </is>
      </c>
      <c r="H4" s="359" t="n">
        <v>12345</v>
      </c>
      <c r="I4" s="296" t="n"/>
      <c r="J4" s="421" t="n">
        <v>44564</v>
      </c>
      <c r="K4" s="301" t="n"/>
      <c r="L4" s="301" t="n"/>
      <c r="M4" s="301" t="n"/>
      <c r="N4" s="301" t="n"/>
      <c r="O4" s="301" t="n"/>
      <c r="P4" s="301" t="n"/>
      <c r="Q4" s="296" t="n"/>
      <c r="R4" s="296" t="n"/>
      <c r="S4" s="296" t="n"/>
      <c r="T4" s="296" t="n"/>
      <c r="U4" s="296" t="n"/>
      <c r="V4" s="296" t="n"/>
    </row>
    <row r="5" ht="21" customHeight="1" s="290">
      <c r="A5" s="360" t="inlineStr">
        <is>
          <t>Inst22-013</t>
        </is>
      </c>
      <c r="B5" s="296" t="inlineStr">
        <is>
          <t>Microscope</t>
        </is>
      </c>
      <c r="C5" s="296" t="inlineStr">
        <is>
          <t>Ipsem lorem van der merwex xcocet</t>
        </is>
      </c>
      <c r="D5" s="317" t="inlineStr">
        <is>
          <t>Unknown</t>
        </is>
      </c>
      <c r="E5" s="317" t="inlineStr">
        <is>
          <t>Unknown</t>
        </is>
      </c>
      <c r="F5" s="359" t="inlineStr">
        <is>
          <t>Instruments Inc.</t>
        </is>
      </c>
      <c r="G5" s="317" t="inlineStr">
        <is>
          <t>GTS 5</t>
        </is>
      </c>
      <c r="H5" s="359" t="n">
        <v>12345</v>
      </c>
      <c r="I5" s="296" t="n"/>
      <c r="J5" s="421" t="n">
        <v>44564</v>
      </c>
      <c r="K5" s="301" t="n"/>
      <c r="L5" s="301" t="n"/>
      <c r="M5" s="301" t="n"/>
      <c r="N5" s="301" t="n"/>
      <c r="O5" s="301" t="n"/>
      <c r="P5" s="301" t="n"/>
      <c r="Q5" s="296" t="n"/>
      <c r="R5" s="296" t="n"/>
      <c r="S5" s="296" t="n"/>
      <c r="T5" s="296" t="n"/>
      <c r="U5" s="296" t="n"/>
      <c r="V5" s="296" t="n"/>
    </row>
    <row r="6" ht="21" customHeight="1" s="290">
      <c r="A6" s="360" t="inlineStr">
        <is>
          <t>Inst22-012</t>
        </is>
      </c>
      <c r="B6" s="296" t="inlineStr">
        <is>
          <t>Multi purpose Probe</t>
        </is>
      </c>
      <c r="C6" s="296" t="inlineStr">
        <is>
          <t>Ipsem lorem van der merwex xcocet</t>
        </is>
      </c>
      <c r="D6" s="317" t="inlineStr">
        <is>
          <t>Unknown</t>
        </is>
      </c>
      <c r="E6" s="317" t="inlineStr">
        <is>
          <t>Unknown</t>
        </is>
      </c>
      <c r="F6" s="359" t="inlineStr">
        <is>
          <t>Instruments Inc.</t>
        </is>
      </c>
      <c r="G6" s="317" t="inlineStr">
        <is>
          <t>GTS 5</t>
        </is>
      </c>
      <c r="H6" s="359" t="n">
        <v>12345</v>
      </c>
      <c r="I6" s="296" t="n"/>
      <c r="J6" s="421" t="n">
        <v>44564</v>
      </c>
      <c r="K6" s="301" t="n"/>
      <c r="L6" s="301" t="n"/>
      <c r="M6" s="301" t="n"/>
      <c r="N6" s="301" t="n"/>
      <c r="O6" s="301" t="n"/>
      <c r="P6" s="301" t="n"/>
      <c r="Q6" s="296" t="n"/>
      <c r="R6" s="296" t="n"/>
      <c r="S6" s="296" t="n"/>
      <c r="T6" s="296" t="n"/>
      <c r="U6" s="296" t="n"/>
      <c r="V6" s="296" t="n"/>
    </row>
    <row r="7" ht="21" customHeight="1" s="290">
      <c r="A7" s="337" t="inlineStr">
        <is>
          <t>Inst22-021</t>
        </is>
      </c>
      <c r="B7" s="296" t="inlineStr">
        <is>
          <t>Smart Meter</t>
        </is>
      </c>
      <c r="C7" s="296" t="inlineStr">
        <is>
          <t>Ipsem lorem van der merwex xcocet</t>
        </is>
      </c>
      <c r="D7" s="317" t="inlineStr">
        <is>
          <t>Unknown</t>
        </is>
      </c>
      <c r="E7" s="317" t="inlineStr">
        <is>
          <t>Unknown</t>
        </is>
      </c>
      <c r="F7" s="359" t="inlineStr">
        <is>
          <t>Instruments Inc.</t>
        </is>
      </c>
      <c r="G7" s="317" t="inlineStr">
        <is>
          <t>GTS 5</t>
        </is>
      </c>
      <c r="H7" s="359" t="n">
        <v>12345</v>
      </c>
      <c r="I7" s="296" t="n"/>
      <c r="J7" s="421" t="n">
        <v>44564</v>
      </c>
      <c r="K7" s="301" t="n"/>
      <c r="L7" s="301" t="n"/>
      <c r="M7" s="301" t="n"/>
      <c r="N7" s="301" t="n"/>
      <c r="O7" s="301" t="n"/>
      <c r="P7" s="301" t="n"/>
      <c r="Q7" s="296" t="n"/>
      <c r="R7" s="296" t="n"/>
      <c r="S7" s="296" t="n"/>
      <c r="T7" s="296" t="n"/>
      <c r="U7" s="296" t="n"/>
      <c r="V7" s="296" t="n"/>
    </row>
    <row r="8" ht="21" customHeight="1" s="290">
      <c r="A8" s="360" t="inlineStr">
        <is>
          <t>Inst22-022</t>
        </is>
      </c>
      <c r="B8" s="296" t="inlineStr">
        <is>
          <t>Spectrophotometer</t>
        </is>
      </c>
      <c r="C8" s="296" t="inlineStr">
        <is>
          <t>Ipsem lorem van der merwex xcocet</t>
        </is>
      </c>
      <c r="D8" s="317" t="inlineStr">
        <is>
          <t>Unknown</t>
        </is>
      </c>
      <c r="E8" s="317" t="inlineStr">
        <is>
          <t>Unknown</t>
        </is>
      </c>
      <c r="F8" s="359" t="inlineStr">
        <is>
          <t>Instruments Inc.</t>
        </is>
      </c>
      <c r="G8" s="317" t="inlineStr">
        <is>
          <t>GTS 5</t>
        </is>
      </c>
      <c r="H8" s="359" t="n">
        <v>12345</v>
      </c>
      <c r="I8" s="296" t="n"/>
      <c r="J8" s="421" t="n">
        <v>44564</v>
      </c>
      <c r="K8" s="301" t="n"/>
      <c r="L8" s="301" t="n"/>
      <c r="M8" s="301" t="n"/>
      <c r="N8" s="301" t="n"/>
      <c r="O8" s="301" t="n"/>
      <c r="P8" s="301" t="n"/>
      <c r="Q8" s="296" t="n"/>
      <c r="R8" s="296" t="n"/>
      <c r="S8" s="296" t="n"/>
      <c r="T8" s="296" t="n"/>
      <c r="U8" s="296" t="n"/>
      <c r="V8" s="296" t="n"/>
    </row>
    <row r="9" ht="21" customHeight="1" s="290">
      <c r="A9" s="360" t="inlineStr">
        <is>
          <t>Inst22-029</t>
        </is>
      </c>
      <c r="B9" s="296" t="inlineStr">
        <is>
          <t>Thermometer</t>
        </is>
      </c>
      <c r="C9" s="296" t="inlineStr">
        <is>
          <t>Ipsem lorem van der merwex xcocet</t>
        </is>
      </c>
      <c r="D9" s="317" t="inlineStr">
        <is>
          <t>Unknown</t>
        </is>
      </c>
      <c r="E9" s="317" t="inlineStr">
        <is>
          <t>Unknown</t>
        </is>
      </c>
      <c r="F9" s="359" t="inlineStr">
        <is>
          <t>Instruments Inc.</t>
        </is>
      </c>
      <c r="G9" s="317" t="inlineStr">
        <is>
          <t>GTS 5</t>
        </is>
      </c>
      <c r="H9" s="359" t="n">
        <v>12345</v>
      </c>
      <c r="I9" s="296" t="n"/>
      <c r="J9" s="421" t="n">
        <v>44564</v>
      </c>
      <c r="K9" s="301" t="n"/>
      <c r="L9" s="301" t="n"/>
      <c r="M9" s="301" t="n"/>
      <c r="N9" s="301" t="n"/>
      <c r="O9" s="301" t="n"/>
      <c r="P9" s="301" t="n"/>
      <c r="Q9" s="296" t="n"/>
      <c r="R9" s="296" t="n"/>
      <c r="S9" s="296" t="n"/>
      <c r="T9" s="296" t="n"/>
      <c r="U9" s="296" t="n"/>
      <c r="V9" s="296" t="n"/>
    </row>
    <row r="10" ht="21" customHeight="1" s="290">
      <c r="A10" s="360" t="inlineStr">
        <is>
          <t>Inst22-028</t>
        </is>
      </c>
      <c r="B10" s="296" t="inlineStr">
        <is>
          <t>Titrator</t>
        </is>
      </c>
      <c r="C10" s="296" t="inlineStr">
        <is>
          <t>Ipsem lorem van der merwex xcocet</t>
        </is>
      </c>
      <c r="D10" s="317" t="inlineStr">
        <is>
          <t>Unknown</t>
        </is>
      </c>
      <c r="E10" s="317" t="inlineStr">
        <is>
          <t>Unknown</t>
        </is>
      </c>
      <c r="F10" s="359" t="inlineStr">
        <is>
          <t>Instruments Inc.</t>
        </is>
      </c>
      <c r="G10" s="317" t="inlineStr">
        <is>
          <t>GTS 5</t>
        </is>
      </c>
      <c r="H10" s="359" t="n">
        <v>12345</v>
      </c>
      <c r="I10" s="296" t="n"/>
      <c r="J10" s="421" t="n">
        <v>44564</v>
      </c>
      <c r="K10" s="301" t="n"/>
      <c r="L10" s="301" t="n"/>
      <c r="M10" s="301" t="n"/>
      <c r="N10" s="301" t="n"/>
      <c r="O10" s="301" t="n"/>
      <c r="P10" s="301" t="n"/>
      <c r="Q10" s="296" t="n"/>
      <c r="R10" s="296" t="n"/>
      <c r="S10" s="296" t="n"/>
      <c r="T10" s="296" t="n"/>
      <c r="U10" s="296" t="n"/>
      <c r="V10" s="296" t="n"/>
    </row>
  </sheetData>
  <mergeCells count="4">
    <mergeCell ref="M2:P2"/>
    <mergeCell ref="K2:L2"/>
    <mergeCell ref="Q2:R2"/>
    <mergeCell ref="A2:J2"/>
  </mergeCells>
  <conditionalFormatting sqref="F4:F10">
    <cfRule type="expression" rank="0" priority="2" equalAverage="0" aboveAverage="0" dxfId="0" text="" percent="0" bottom="0">
      <formula>NOT(COUNTIF(INDIRECT("Suppliers!"&amp;"A$4:A"),F4)&gt;0)*NOT(ISBLANK(F4))</formula>
    </cfRule>
  </conditionalFormatting>
  <conditionalFormatting sqref="A1:V1">
    <cfRule type="expression" rank="0" priority="3" equalAverage="0" aboveAverage="0" dxfId="0" text="" percent="0" bottom="0">
      <formula>LEN(TRIM(A1))=0</formula>
    </cfRule>
  </conditionalFormatting>
  <conditionalFormatting sqref="E4:E10">
    <cfRule type="expression" rank="0" priority="4" equalAverage="0" aboveAverage="0" dxfId="0" text="" percent="0" bottom="0">
      <formula>NOT(COUNTIF(INDIRECT("Manufacturers!"&amp;"A$4:A"),E4)&gt;0)*NOT(ISBLANK(E4))</formula>
    </cfRule>
  </conditionalFormatting>
  <conditionalFormatting sqref="D4:D10">
    <cfRule type="expression" rank="0" priority="5" equalAverage="0" aboveAverage="0" dxfId="0" text="" percent="0" bottom="0">
      <formula>NOT(COUNTIF(INDIRECT("Instrument Types!"&amp;"A$4:A"),D4)&gt;0)*NOT(ISBLANK(D4))</formula>
    </cfRule>
  </conditionalFormatting>
  <dataValidations count="3">
    <dataValidation sqref="D4:D10" showDropDown="0" showInputMessage="0" showErrorMessage="1" allowBlank="1" type="list" errorStyle="stop" operator="equal">
      <formula1>'Instrument Types'!$A$4:$A10</formula1>
      <formula2>0</formula2>
    </dataValidation>
    <dataValidation sqref="E4:E10" showDropDown="0" showInputMessage="0" showErrorMessage="1" allowBlank="1" type="list" errorStyle="stop" operator="equal">
      <formula1>Manufacturers!$A$4:$A10</formula1>
      <formula2>0</formula2>
    </dataValidation>
    <dataValidation sqref="F4:F10" showDropDown="0" showInputMessage="0" showErrorMessage="1" allowBlank="1" type="list" errorStyle="stop" operator="equal">
      <formula1>Suppliers!$A$4:$A10</formula1>
      <formula2>0</formula2>
    </dataValidation>
  </dataValidation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Z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36.66" customWidth="1" style="289" min="1" max="1"/>
    <col width="24.32" customWidth="1" style="289" min="2" max="2"/>
    <col width="12.72" customWidth="1" style="289" min="3" max="1024"/>
  </cols>
  <sheetData>
    <row r="1" ht="16.4" customHeight="1" s="290">
      <c r="A1" s="422" t="inlineStr">
        <is>
          <t>Instrument_title</t>
        </is>
      </c>
      <c r="B1" s="422" t="inlineStr">
        <is>
          <t>Method_title</t>
        </is>
      </c>
      <c r="C1" s="423" t="n"/>
      <c r="D1" s="423" t="n"/>
      <c r="E1" s="424" t="n"/>
      <c r="F1" s="424" t="n"/>
      <c r="G1" s="424" t="n"/>
      <c r="H1" s="424" t="n"/>
      <c r="I1" s="424" t="n"/>
      <c r="J1" s="424" t="n"/>
      <c r="K1" s="424" t="n"/>
      <c r="L1" s="424" t="n"/>
      <c r="M1" s="424" t="n"/>
      <c r="N1" s="424" t="n"/>
      <c r="O1" s="424" t="n"/>
      <c r="P1" s="424" t="n"/>
      <c r="Q1" s="424" t="n"/>
      <c r="R1" s="424" t="n"/>
      <c r="S1" s="424" t="n"/>
      <c r="T1" s="424" t="n"/>
      <c r="U1" s="424" t="n"/>
      <c r="V1" s="424" t="n"/>
      <c r="W1" s="424" t="n"/>
      <c r="X1" s="424" t="n"/>
      <c r="Y1" s="424" t="n"/>
      <c r="Z1" s="424" t="n"/>
    </row>
    <row r="2" ht="22.05" customHeight="1" s="290">
      <c r="A2" s="425" t="inlineStr">
        <is>
          <t>Instrument – Methods</t>
        </is>
      </c>
      <c r="B2" s="426" t="n"/>
      <c r="C2" s="426" t="n"/>
      <c r="D2" s="426" t="n"/>
      <c r="E2" s="424" t="n"/>
      <c r="F2" s="424" t="n"/>
      <c r="G2" s="424" t="n"/>
      <c r="H2" s="424" t="n"/>
      <c r="I2" s="424" t="n"/>
      <c r="J2" s="424" t="n"/>
      <c r="K2" s="424" t="n"/>
      <c r="L2" s="424" t="n"/>
      <c r="M2" s="424" t="n"/>
      <c r="N2" s="424" t="n"/>
      <c r="O2" s="424" t="n"/>
      <c r="P2" s="424" t="n"/>
      <c r="Q2" s="424" t="n"/>
      <c r="R2" s="424" t="n"/>
      <c r="S2" s="424" t="n"/>
      <c r="T2" s="424" t="n"/>
      <c r="U2" s="424" t="n"/>
      <c r="V2" s="424" t="n"/>
      <c r="W2" s="424" t="n"/>
      <c r="X2" s="424" t="n"/>
      <c r="Y2" s="424" t="n"/>
      <c r="Z2" s="424" t="n"/>
    </row>
    <row r="3" ht="16.4" customHeight="1" s="290">
      <c r="A3" s="427" t="inlineStr">
        <is>
          <t>Instrument</t>
        </is>
      </c>
      <c r="B3" s="427" t="inlineStr">
        <is>
          <t>Method</t>
        </is>
      </c>
      <c r="C3" s="426" t="n"/>
      <c r="D3" s="427" t="n"/>
      <c r="E3" s="424" t="n"/>
      <c r="F3" s="424" t="n"/>
      <c r="G3" s="424" t="n"/>
      <c r="H3" s="424" t="n"/>
      <c r="I3" s="424" t="n"/>
      <c r="J3" s="424" t="n"/>
      <c r="K3" s="424" t="n"/>
      <c r="L3" s="424" t="n"/>
      <c r="M3" s="424" t="n"/>
      <c r="N3" s="424" t="n"/>
      <c r="O3" s="424" t="n"/>
      <c r="P3" s="424" t="n"/>
      <c r="Q3" s="424" t="n"/>
      <c r="R3" s="424" t="n"/>
      <c r="S3" s="424" t="n"/>
      <c r="T3" s="424" t="n"/>
      <c r="U3" s="424" t="n"/>
      <c r="V3" s="424" t="n"/>
      <c r="W3" s="424" t="n"/>
      <c r="X3" s="424" t="n"/>
      <c r="Y3" s="424" t="n"/>
      <c r="Z3" s="424" t="n"/>
    </row>
    <row r="4" ht="21" customHeight="1" s="290">
      <c r="A4" s="398" t="inlineStr">
        <is>
          <t>Multi purpose Probe</t>
        </is>
      </c>
      <c r="B4" s="398" t="inlineStr">
        <is>
          <t>APHA 1001 Metals</t>
        </is>
      </c>
      <c r="C4" s="359" t="n"/>
      <c r="D4" s="398" t="n"/>
      <c r="E4" s="390" t="n"/>
      <c r="F4" s="390" t="n"/>
      <c r="G4" s="390" t="n"/>
      <c r="H4" s="390" t="n"/>
      <c r="I4" s="390" t="n"/>
      <c r="J4" s="390" t="n"/>
      <c r="K4" s="390" t="n"/>
      <c r="L4" s="390" t="n"/>
      <c r="M4" s="390" t="n"/>
      <c r="N4" s="390" t="n"/>
      <c r="O4" s="390" t="n"/>
      <c r="P4" s="390" t="n"/>
      <c r="Q4" s="390" t="n"/>
      <c r="R4" s="390" t="n"/>
      <c r="S4" s="390" t="n"/>
      <c r="T4" s="390" t="n"/>
      <c r="U4" s="390" t="n"/>
      <c r="V4" s="390" t="n"/>
      <c r="W4" s="390" t="n"/>
      <c r="X4" s="390" t="n"/>
      <c r="Y4" s="390" t="n"/>
      <c r="Z4" s="390" t="n"/>
    </row>
    <row r="5" ht="21" customHeight="1" s="290">
      <c r="A5" s="398" t="inlineStr">
        <is>
          <t>Multi purpose Probe</t>
        </is>
      </c>
      <c r="B5" s="398" t="inlineStr">
        <is>
          <t>APHA 1002 Anions</t>
        </is>
      </c>
      <c r="C5" s="359" t="n"/>
      <c r="D5" s="398" t="n"/>
      <c r="E5" s="390" t="n"/>
      <c r="F5" s="390" t="n"/>
      <c r="G5" s="390" t="n"/>
      <c r="H5" s="390" t="n"/>
      <c r="I5" s="390" t="n"/>
      <c r="J5" s="390" t="n"/>
      <c r="K5" s="390" t="n"/>
      <c r="L5" s="390" t="n"/>
      <c r="M5" s="390" t="n"/>
      <c r="N5" s="390" t="n"/>
      <c r="O5" s="390" t="n"/>
      <c r="P5" s="390" t="n"/>
      <c r="Q5" s="390" t="n"/>
      <c r="R5" s="390" t="n"/>
      <c r="S5" s="390" t="n"/>
      <c r="T5" s="390" t="n"/>
      <c r="U5" s="390" t="n"/>
      <c r="V5" s="390" t="n"/>
      <c r="W5" s="390" t="n"/>
      <c r="X5" s="390" t="n"/>
      <c r="Y5" s="390" t="n"/>
      <c r="Z5" s="390" t="n"/>
    </row>
    <row r="6" ht="21" customHeight="1" s="290">
      <c r="A6" s="398" t="inlineStr">
        <is>
          <t>Microscope</t>
        </is>
      </c>
      <c r="B6" s="398" t="inlineStr">
        <is>
          <t>APHA 1003 Microbio</t>
        </is>
      </c>
      <c r="C6" s="359" t="n"/>
      <c r="D6" s="398" t="n"/>
      <c r="E6" s="390" t="n"/>
      <c r="F6" s="390" t="n"/>
      <c r="G6" s="390" t="n"/>
      <c r="H6" s="390" t="n"/>
      <c r="I6" s="390" t="n"/>
      <c r="J6" s="390" t="n"/>
      <c r="K6" s="390" t="n"/>
      <c r="L6" s="390" t="n"/>
      <c r="M6" s="390" t="n"/>
      <c r="N6" s="390" t="n"/>
      <c r="O6" s="390" t="n"/>
      <c r="P6" s="390" t="n"/>
      <c r="Q6" s="390" t="n"/>
      <c r="R6" s="390" t="n"/>
      <c r="S6" s="390" t="n"/>
      <c r="T6" s="390" t="n"/>
      <c r="U6" s="390" t="n"/>
      <c r="V6" s="390" t="n"/>
      <c r="W6" s="390" t="n"/>
      <c r="X6" s="390" t="n"/>
      <c r="Y6" s="390" t="n"/>
      <c r="Z6" s="390" t="n"/>
    </row>
    <row r="7" ht="21" customHeight="1" s="290">
      <c r="A7" s="398" t="inlineStr">
        <is>
          <t>Titrator</t>
        </is>
      </c>
      <c r="B7" s="398" t="inlineStr">
        <is>
          <t>APHA 1004 Titration</t>
        </is>
      </c>
      <c r="C7" s="359" t="n"/>
      <c r="D7" s="398" t="n"/>
      <c r="E7" s="390" t="n"/>
      <c r="F7" s="390" t="n"/>
      <c r="G7" s="390" t="n"/>
      <c r="H7" s="390" t="n"/>
      <c r="I7" s="390" t="n"/>
      <c r="J7" s="390" t="n"/>
      <c r="K7" s="390" t="n"/>
      <c r="L7" s="390" t="n"/>
      <c r="M7" s="390" t="n"/>
      <c r="N7" s="390" t="n"/>
      <c r="O7" s="390" t="n"/>
      <c r="P7" s="390" t="n"/>
      <c r="Q7" s="390" t="n"/>
      <c r="R7" s="390" t="n"/>
      <c r="S7" s="390" t="n"/>
      <c r="T7" s="390" t="n"/>
      <c r="U7" s="390" t="n"/>
      <c r="V7" s="390" t="n"/>
      <c r="W7" s="390" t="n"/>
      <c r="X7" s="390" t="n"/>
      <c r="Y7" s="390" t="n"/>
      <c r="Z7" s="390" t="n"/>
    </row>
    <row r="8" ht="21" customHeight="1" s="290">
      <c r="A8" s="398" t="inlineStr">
        <is>
          <t>Multi purpose Probe</t>
        </is>
      </c>
      <c r="B8" s="398" t="inlineStr">
        <is>
          <t>APHA 1006 Conductivity</t>
        </is>
      </c>
      <c r="C8" s="359" t="n"/>
      <c r="D8" s="398" t="n"/>
      <c r="E8" s="390" t="n"/>
      <c r="F8" s="390" t="n"/>
      <c r="G8" s="390" t="n"/>
      <c r="H8" s="390" t="n"/>
      <c r="I8" s="390" t="n"/>
      <c r="J8" s="390" t="n"/>
      <c r="K8" s="390" t="n"/>
      <c r="L8" s="390" t="n"/>
      <c r="M8" s="390" t="n"/>
      <c r="N8" s="390" t="n"/>
      <c r="O8" s="390" t="n"/>
      <c r="P8" s="390" t="n"/>
      <c r="Q8" s="390" t="n"/>
      <c r="R8" s="390" t="n"/>
      <c r="S8" s="390" t="n"/>
      <c r="T8" s="390" t="n"/>
      <c r="U8" s="390" t="n"/>
      <c r="V8" s="390" t="n"/>
      <c r="W8" s="390" t="n"/>
      <c r="X8" s="390" t="n"/>
      <c r="Y8" s="390" t="n"/>
      <c r="Z8" s="390" t="n"/>
    </row>
    <row r="9" ht="21" customHeight="1" s="290">
      <c r="A9" s="398" t="inlineStr">
        <is>
          <t>Multi purpose Probe</t>
        </is>
      </c>
      <c r="B9" s="398" t="inlineStr">
        <is>
          <t>APHA 1007 pH</t>
        </is>
      </c>
      <c r="C9" s="359" t="n"/>
      <c r="D9" s="398" t="n"/>
      <c r="E9" s="390" t="n"/>
      <c r="F9" s="390" t="n"/>
      <c r="G9" s="390" t="n"/>
      <c r="H9" s="390" t="n"/>
      <c r="I9" s="390" t="n"/>
      <c r="J9" s="390" t="n"/>
      <c r="K9" s="390" t="n"/>
      <c r="L9" s="390" t="n"/>
      <c r="M9" s="390" t="n"/>
      <c r="N9" s="390" t="n"/>
      <c r="O9" s="390" t="n"/>
      <c r="P9" s="390" t="n"/>
      <c r="Q9" s="390" t="n"/>
      <c r="R9" s="390" t="n"/>
      <c r="S9" s="390" t="n"/>
      <c r="T9" s="390" t="n"/>
      <c r="U9" s="390" t="n"/>
      <c r="V9" s="390" t="n"/>
      <c r="W9" s="390" t="n"/>
      <c r="X9" s="390" t="n"/>
      <c r="Y9" s="390" t="n"/>
      <c r="Z9" s="390" t="n"/>
    </row>
    <row r="10" ht="21" customHeight="1" s="290">
      <c r="A10" s="398" t="inlineStr">
        <is>
          <t>Multi purpose Probe</t>
        </is>
      </c>
      <c r="B10" s="398" t="inlineStr">
        <is>
          <t>APHA 1008 Sulphate</t>
        </is>
      </c>
      <c r="C10" s="359" t="n"/>
      <c r="D10" s="398" t="n"/>
      <c r="E10" s="390" t="n"/>
      <c r="F10" s="390" t="n"/>
      <c r="G10" s="390" t="n"/>
      <c r="H10" s="390" t="n"/>
      <c r="I10" s="390" t="n"/>
      <c r="J10" s="390" t="n"/>
      <c r="K10" s="390" t="n"/>
      <c r="L10" s="390" t="n"/>
      <c r="M10" s="390" t="n"/>
      <c r="N10" s="390" t="n"/>
      <c r="O10" s="390" t="n"/>
      <c r="P10" s="390" t="n"/>
      <c r="Q10" s="390" t="n"/>
      <c r="R10" s="390" t="n"/>
      <c r="S10" s="390" t="n"/>
      <c r="T10" s="390" t="n"/>
      <c r="U10" s="390" t="n"/>
      <c r="V10" s="390" t="n"/>
      <c r="W10" s="390" t="n"/>
      <c r="X10" s="390" t="n"/>
      <c r="Y10" s="390" t="n"/>
      <c r="Z10" s="390" t="n"/>
    </row>
    <row r="11" ht="21" customHeight="1" s="290">
      <c r="A11" s="398" t="inlineStr">
        <is>
          <t>Thermometer</t>
        </is>
      </c>
      <c r="B11" s="398" t="inlineStr">
        <is>
          <t>APHA 1009 Temp</t>
        </is>
      </c>
      <c r="C11" s="359" t="n"/>
      <c r="D11" s="398" t="n"/>
      <c r="E11" s="390" t="n"/>
      <c r="F11" s="390" t="n"/>
      <c r="G11" s="390" t="n"/>
      <c r="H11" s="390" t="n"/>
      <c r="I11" s="390" t="n"/>
      <c r="J11" s="390" t="n"/>
      <c r="K11" s="390" t="n"/>
      <c r="L11" s="390" t="n"/>
      <c r="M11" s="390" t="n"/>
      <c r="N11" s="390" t="n"/>
      <c r="O11" s="390" t="n"/>
      <c r="P11" s="390" t="n"/>
      <c r="Q11" s="390" t="n"/>
      <c r="R11" s="390" t="n"/>
      <c r="S11" s="390" t="n"/>
      <c r="T11" s="390" t="n"/>
      <c r="U11" s="390" t="n"/>
      <c r="V11" s="390" t="n"/>
      <c r="W11" s="390" t="n"/>
      <c r="X11" s="390" t="n"/>
      <c r="Y11" s="390" t="n"/>
      <c r="Z11" s="390" t="n"/>
    </row>
    <row r="12" ht="21" customHeight="1" s="290">
      <c r="A12" s="398" t="inlineStr">
        <is>
          <t>Smart Meter</t>
        </is>
      </c>
      <c r="B12" s="398" t="inlineStr">
        <is>
          <t>APHA 1001 Metals</t>
        </is>
      </c>
      <c r="C12" s="359" t="n"/>
      <c r="D12" s="398" t="n"/>
      <c r="E12" s="390" t="n"/>
      <c r="F12" s="390" t="n"/>
      <c r="G12" s="390" t="n"/>
      <c r="H12" s="390" t="n"/>
      <c r="I12" s="390" t="n"/>
      <c r="J12" s="390" t="n"/>
      <c r="K12" s="390" t="n"/>
      <c r="L12" s="390" t="n"/>
      <c r="M12" s="390" t="n"/>
      <c r="N12" s="390" t="n"/>
      <c r="O12" s="390" t="n"/>
      <c r="P12" s="390" t="n"/>
      <c r="Q12" s="390" t="n"/>
      <c r="R12" s="390" t="n"/>
      <c r="S12" s="390" t="n"/>
      <c r="T12" s="390" t="n"/>
      <c r="U12" s="390" t="n"/>
      <c r="V12" s="390" t="n"/>
      <c r="W12" s="390" t="n"/>
      <c r="X12" s="390" t="n"/>
      <c r="Y12" s="390" t="n"/>
      <c r="Z12" s="390" t="n"/>
    </row>
    <row r="13" ht="21" customHeight="1" s="290">
      <c r="A13" s="398" t="inlineStr">
        <is>
          <t>Smart Meter</t>
        </is>
      </c>
      <c r="B13" s="398" t="inlineStr">
        <is>
          <t>APHA 1002 Anions</t>
        </is>
      </c>
      <c r="C13" s="359" t="n"/>
      <c r="D13" s="398" t="n"/>
      <c r="E13" s="390" t="n"/>
      <c r="F13" s="390" t="n"/>
      <c r="G13" s="390" t="n"/>
      <c r="H13" s="390" t="n"/>
      <c r="I13" s="390" t="n"/>
      <c r="J13" s="390" t="n"/>
      <c r="K13" s="390" t="n"/>
      <c r="L13" s="390" t="n"/>
      <c r="M13" s="390" t="n"/>
      <c r="N13" s="390" t="n"/>
      <c r="O13" s="390" t="n"/>
      <c r="P13" s="390" t="n"/>
      <c r="Q13" s="390" t="n"/>
      <c r="R13" s="390" t="n"/>
      <c r="S13" s="390" t="n"/>
      <c r="T13" s="390" t="n"/>
      <c r="U13" s="390" t="n"/>
      <c r="V13" s="390" t="n"/>
      <c r="W13" s="390" t="n"/>
      <c r="X13" s="390" t="n"/>
      <c r="Y13" s="390" t="n"/>
      <c r="Z13" s="390" t="n"/>
    </row>
    <row r="14" ht="21" customHeight="1" s="290">
      <c r="A14" s="398" t="inlineStr">
        <is>
          <t>Smart Meter</t>
        </is>
      </c>
      <c r="B14" s="398" t="inlineStr">
        <is>
          <t>APHA 1006 Conductivity</t>
        </is>
      </c>
      <c r="C14" s="359" t="n"/>
      <c r="D14" s="398" t="n"/>
      <c r="E14" s="390" t="n"/>
      <c r="F14" s="390" t="n"/>
      <c r="G14" s="390" t="n"/>
      <c r="H14" s="390" t="n"/>
      <c r="I14" s="390" t="n"/>
      <c r="J14" s="390" t="n"/>
      <c r="K14" s="390" t="n"/>
      <c r="L14" s="390" t="n"/>
      <c r="M14" s="390" t="n"/>
      <c r="N14" s="390" t="n"/>
      <c r="O14" s="390" t="n"/>
      <c r="P14" s="390" t="n"/>
      <c r="Q14" s="390" t="n"/>
      <c r="R14" s="390" t="n"/>
      <c r="S14" s="390" t="n"/>
      <c r="T14" s="390" t="n"/>
      <c r="U14" s="390" t="n"/>
      <c r="V14" s="390" t="n"/>
      <c r="W14" s="390" t="n"/>
      <c r="X14" s="390" t="n"/>
      <c r="Y14" s="390" t="n"/>
      <c r="Z14" s="390" t="n"/>
    </row>
    <row r="15" ht="21" customHeight="1" s="290">
      <c r="A15" s="398" t="inlineStr">
        <is>
          <t>Smart Meter</t>
        </is>
      </c>
      <c r="B15" s="398" t="inlineStr">
        <is>
          <t>APHA 1007 pH</t>
        </is>
      </c>
      <c r="C15" s="359" t="n"/>
      <c r="D15" s="398" t="n"/>
      <c r="E15" s="390" t="n"/>
      <c r="F15" s="390" t="n"/>
      <c r="G15" s="390" t="n"/>
      <c r="H15" s="390" t="n"/>
      <c r="I15" s="390" t="n"/>
      <c r="J15" s="390" t="n"/>
      <c r="K15" s="390" t="n"/>
      <c r="L15" s="390" t="n"/>
      <c r="M15" s="390" t="n"/>
      <c r="N15" s="390" t="n"/>
      <c r="O15" s="390" t="n"/>
      <c r="P15" s="390" t="n"/>
      <c r="Q15" s="390" t="n"/>
      <c r="R15" s="390" t="n"/>
      <c r="S15" s="390" t="n"/>
      <c r="T15" s="390" t="n"/>
      <c r="U15" s="390" t="n"/>
      <c r="V15" s="390" t="n"/>
      <c r="W15" s="390" t="n"/>
      <c r="X15" s="390" t="n"/>
      <c r="Y15" s="390" t="n"/>
      <c r="Z15" s="390" t="n"/>
    </row>
    <row r="16" ht="21" customHeight="1" s="290">
      <c r="A16" s="398" t="inlineStr">
        <is>
          <t>Smart Meter</t>
        </is>
      </c>
      <c r="B16" s="398" t="inlineStr">
        <is>
          <t>APHA 1008 Sulphate</t>
        </is>
      </c>
      <c r="C16" s="359" t="n"/>
      <c r="D16" s="398" t="n"/>
      <c r="E16" s="390" t="n"/>
      <c r="F16" s="390" t="n"/>
      <c r="G16" s="390" t="n"/>
      <c r="H16" s="390" t="n"/>
      <c r="I16" s="390" t="n"/>
      <c r="J16" s="390" t="n"/>
      <c r="K16" s="390" t="n"/>
      <c r="L16" s="390" t="n"/>
      <c r="M16" s="390" t="n"/>
      <c r="N16" s="390" t="n"/>
      <c r="O16" s="390" t="n"/>
      <c r="P16" s="390" t="n"/>
      <c r="Q16" s="390" t="n"/>
      <c r="R16" s="390" t="n"/>
      <c r="S16" s="390" t="n"/>
      <c r="T16" s="390" t="n"/>
      <c r="U16" s="390" t="n"/>
      <c r="V16" s="390" t="n"/>
      <c r="W16" s="390" t="n"/>
      <c r="X16" s="390" t="n"/>
      <c r="Y16" s="390" t="n"/>
      <c r="Z16" s="390" t="n"/>
    </row>
  </sheetData>
  <dataValidations count="2">
    <dataValidation sqref="A4:A16" showDropDown="0" showInputMessage="0" showErrorMessage="0" allowBlank="1" type="list" errorStyle="stop" operator="equal">
      <formula1>Instruments!$B$4:$B16</formula1>
      <formula2>0</formula2>
    </dataValidation>
    <dataValidation sqref="B4:B16" showDropDown="0" showInputMessage="0" showErrorMessage="0" allowBlank="1" type="list" errorStyle="stop" operator="equal">
      <formula1>Methods!$B$4:$B16</formula1>
      <formula2>0</formula2>
    </dataValidation>
  </dataValidation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tabColor rgb="FFFFFF00"/>
    <outlinePr summaryBelow="1" summaryRight="1"/>
    <pageSetUpPr fitToPage="0"/>
  </sheetPr>
  <dimension ref="A1:J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4.79" customWidth="1" style="289" min="1" max="1"/>
    <col width="27.46" customWidth="1" style="289" min="2" max="2"/>
    <col hidden="1" outlineLevel="1" width="18.64" customWidth="1" style="289" min="3" max="3"/>
    <col hidden="1" outlineLevel="1" width="14.99" customWidth="1" style="289" min="4" max="4"/>
    <col width="8.56" customWidth="1" style="289" min="5" max="5"/>
    <col width="13.6" customWidth="1" style="289" min="6" max="6"/>
    <col width="10.08" customWidth="1" style="289" min="7" max="7"/>
    <col width="19.78" customWidth="1" style="289" min="8" max="8"/>
    <col width="17.53" customWidth="1" style="289" min="9" max="9"/>
    <col width="23.69" customWidth="1" style="289" min="10" max="10"/>
    <col width="12.72" customWidth="1" style="289" min="11" max="1024"/>
  </cols>
  <sheetData>
    <row r="1" hidden="1" ht="27" customHeight="1" s="290">
      <c r="A1" s="380" t="inlineStr">
        <is>
          <t>MethodID</t>
        </is>
      </c>
      <c r="B1" s="380" t="inlineStr">
        <is>
          <t>title</t>
        </is>
      </c>
      <c r="C1" s="380" t="inlineStr">
        <is>
          <t>description</t>
        </is>
      </c>
      <c r="D1" s="380" t="inlineStr">
        <is>
          <t>Instructions</t>
        </is>
      </c>
      <c r="E1" s="380" t="inlineStr">
        <is>
          <t>MethodDocument</t>
        </is>
      </c>
      <c r="F1" s="400" t="inlineStr">
        <is>
          <t>Calculation_title</t>
        </is>
      </c>
      <c r="G1" s="428" t="inlineStr">
        <is>
          <t>Instrument_title</t>
        </is>
      </c>
      <c r="H1" s="400" t="inlineStr">
        <is>
          <t>Subcontractor_title</t>
        </is>
      </c>
      <c r="I1" s="400" t="inlineStr">
        <is>
          <t>Accredited</t>
        </is>
      </c>
      <c r="J1" s="380" t="n"/>
    </row>
    <row r="2" ht="37.5" customHeight="1" s="290">
      <c r="A2" s="325" t="n"/>
      <c r="B2" s="325">
        <f>HYPERLINK("https://www.bikalims.org/manual/setup-and-configuration/analysis-methods-and-instruments","Analysis Methods")</f>
        <v/>
      </c>
      <c r="C2" s="327" t="n"/>
      <c r="D2" s="386" t="n"/>
      <c r="E2" s="429" t="n"/>
      <c r="F2" s="327" t="n"/>
      <c r="G2" s="351" t="n"/>
      <c r="H2" s="327" t="n"/>
      <c r="I2" s="327" t="n"/>
      <c r="J2" s="307">
        <f>HYPERLINK("https://www.bikalabs.com","Creative Commons BYSA
Bika Lab Systems")</f>
        <v/>
      </c>
    </row>
    <row r="3" ht="33.75" customHeight="1" s="290">
      <c r="A3" s="334" t="inlineStr">
        <is>
          <t>ID</t>
        </is>
      </c>
      <c r="B3" s="334" t="inlineStr">
        <is>
          <t>⭐ Title</t>
        </is>
      </c>
      <c r="C3" s="334" t="inlineStr">
        <is>
          <t>Description</t>
        </is>
      </c>
      <c r="D3" s="334" t="inlineStr">
        <is>
          <t>Instructions</t>
        </is>
      </c>
      <c r="E3" s="430" t="inlineStr">
        <is>
          <t>Method document</t>
        </is>
      </c>
      <c r="F3" s="334" t="inlineStr">
        <is>
          <t>Calculation</t>
        </is>
      </c>
      <c r="G3" s="431" t="inlineStr">
        <is>
          <t>Instrument</t>
        </is>
      </c>
      <c r="H3" s="376" t="inlineStr">
        <is>
          <t>Subcontractor</t>
        </is>
      </c>
      <c r="I3" s="376" t="inlineStr">
        <is>
          <t>Accredited?</t>
        </is>
      </c>
      <c r="J3" s="349" t="n"/>
    </row>
    <row r="4" ht="21" customHeight="1" s="290">
      <c r="A4" s="371" t="n"/>
      <c r="B4" s="390" t="inlineStr">
        <is>
          <t>APHA 1001 Metals</t>
        </is>
      </c>
      <c r="C4" s="390" t="inlineStr">
        <is>
          <t>Lorem Ipsum</t>
        </is>
      </c>
      <c r="D4" s="359" t="inlineStr">
        <is>
          <t>Dolar summer set</t>
        </is>
      </c>
      <c r="E4" s="389" t="n"/>
      <c r="F4" s="359" t="n"/>
      <c r="G4" s="432" t="n"/>
      <c r="H4" s="359" t="inlineStr">
        <is>
          <t>Lab ZEX</t>
        </is>
      </c>
      <c r="I4" s="360" t="n">
        <v>0</v>
      </c>
      <c r="J4" s="359" t="n"/>
    </row>
    <row r="5" ht="21" customHeight="1" s="290">
      <c r="A5" s="371" t="n"/>
      <c r="B5" s="390" t="inlineStr">
        <is>
          <t>APHA 1002 Anions</t>
        </is>
      </c>
      <c r="C5" s="390" t="inlineStr">
        <is>
          <t>Lorem Ipsum</t>
        </is>
      </c>
      <c r="D5" s="359" t="inlineStr">
        <is>
          <t>Dolar summer set</t>
        </is>
      </c>
      <c r="E5" s="389" t="n"/>
      <c r="F5" s="359" t="n"/>
      <c r="G5" s="432" t="n"/>
      <c r="H5" s="359" t="inlineStr">
        <is>
          <t>Lab ZEX</t>
        </is>
      </c>
      <c r="I5" s="360" t="n">
        <v>0</v>
      </c>
      <c r="J5" s="359" t="n"/>
    </row>
    <row r="6" ht="21" customHeight="1" s="290">
      <c r="A6" s="371" t="n"/>
      <c r="B6" s="390" t="inlineStr">
        <is>
          <t>APHA 1003 Microbio</t>
        </is>
      </c>
      <c r="C6" s="390" t="inlineStr">
        <is>
          <t>Lorem Ipsum</t>
        </is>
      </c>
      <c r="D6" s="359" t="inlineStr">
        <is>
          <t>Dolar summer set</t>
        </is>
      </c>
      <c r="E6" s="389" t="n"/>
      <c r="F6" s="359" t="n"/>
      <c r="G6" s="432" t="n"/>
      <c r="H6" s="359" t="n"/>
      <c r="I6" s="360" t="n">
        <v>1</v>
      </c>
      <c r="J6" s="359" t="n"/>
    </row>
    <row r="7" ht="21" customHeight="1" s="290">
      <c r="A7" s="371" t="n"/>
      <c r="B7" s="390" t="inlineStr">
        <is>
          <t>APHA 1004 Titration</t>
        </is>
      </c>
      <c r="C7" s="390" t="inlineStr">
        <is>
          <t>Lorem Ipsum</t>
        </is>
      </c>
      <c r="D7" s="359" t="inlineStr">
        <is>
          <t>Dolar summer set</t>
        </is>
      </c>
      <c r="E7" s="389" t="n"/>
      <c r="F7" s="359" t="inlineStr">
        <is>
          <t>Dilution</t>
        </is>
      </c>
      <c r="G7" s="432" t="n"/>
      <c r="H7" s="359" t="n"/>
      <c r="I7" s="360" t="n">
        <v>1</v>
      </c>
      <c r="J7" s="359" t="n"/>
    </row>
    <row r="8" ht="21" customHeight="1" s="290">
      <c r="A8" s="371" t="n"/>
      <c r="B8" s="390" t="inlineStr">
        <is>
          <t>APHA 1005 Colour</t>
        </is>
      </c>
      <c r="C8" s="390" t="inlineStr">
        <is>
          <t>Lorem Ipsum</t>
        </is>
      </c>
      <c r="D8" s="359" t="inlineStr">
        <is>
          <t>Dolar summer set</t>
        </is>
      </c>
      <c r="E8" s="389" t="n"/>
      <c r="F8" s="359" t="n"/>
      <c r="G8" s="432" t="n"/>
      <c r="H8" s="359" t="n"/>
      <c r="I8" s="360" t="n">
        <v>1</v>
      </c>
      <c r="J8" s="359" t="n"/>
    </row>
    <row r="9" ht="21" customHeight="1" s="290">
      <c r="A9" s="371" t="n"/>
      <c r="B9" s="390" t="inlineStr">
        <is>
          <t>APHA 1006 Conductivity</t>
        </is>
      </c>
      <c r="C9" s="390" t="inlineStr">
        <is>
          <t>Lorem Ipsum</t>
        </is>
      </c>
      <c r="D9" s="359" t="inlineStr">
        <is>
          <t>Dolar summer set</t>
        </is>
      </c>
      <c r="E9" s="389" t="n"/>
      <c r="F9" s="359" t="inlineStr">
        <is>
          <t>Dilution</t>
        </is>
      </c>
      <c r="G9" s="432" t="n"/>
      <c r="H9" s="359" t="n"/>
      <c r="I9" s="360" t="n">
        <v>0</v>
      </c>
      <c r="J9" s="359" t="n"/>
    </row>
    <row r="10" ht="21" customHeight="1" s="290">
      <c r="A10" s="371" t="n"/>
      <c r="B10" s="390" t="inlineStr">
        <is>
          <t>APHA 1007 pH</t>
        </is>
      </c>
      <c r="C10" s="390" t="inlineStr">
        <is>
          <t>Lorem Ipsum</t>
        </is>
      </c>
      <c r="D10" s="359" t="inlineStr">
        <is>
          <t>Dolar summer set</t>
        </is>
      </c>
      <c r="E10" s="389" t="n"/>
      <c r="F10" s="359" t="n"/>
      <c r="G10" s="432" t="n"/>
      <c r="H10" s="359" t="n"/>
      <c r="I10" s="360" t="n">
        <v>0</v>
      </c>
      <c r="J10" s="359" t="n"/>
    </row>
    <row r="11" ht="21" customHeight="1" s="290">
      <c r="A11" s="371" t="n"/>
      <c r="B11" s="390" t="inlineStr">
        <is>
          <t>APHA 1008 Sulphate</t>
        </is>
      </c>
      <c r="C11" s="390" t="inlineStr">
        <is>
          <t>Lorem Ipsum</t>
        </is>
      </c>
      <c r="D11" s="359" t="inlineStr">
        <is>
          <t>Dolar summer set</t>
        </is>
      </c>
      <c r="E11" s="389" t="n"/>
      <c r="F11" s="359" t="n"/>
      <c r="G11" s="432" t="n"/>
      <c r="H11" s="359" t="n"/>
      <c r="I11" s="360" t="n">
        <v>0</v>
      </c>
      <c r="J11" s="359" t="n"/>
    </row>
    <row r="12" ht="21" customHeight="1" s="290">
      <c r="A12" s="371" t="n"/>
      <c r="B12" s="390" t="inlineStr">
        <is>
          <t>APHA 1009 Temp</t>
        </is>
      </c>
      <c r="C12" s="390" t="inlineStr">
        <is>
          <t>Lorem Ipsum</t>
        </is>
      </c>
      <c r="D12" s="359" t="inlineStr">
        <is>
          <t>Dolar summer set</t>
        </is>
      </c>
      <c r="E12" s="389" t="n"/>
      <c r="F12" s="359" t="n"/>
      <c r="G12" s="432" t="n"/>
      <c r="H12" s="359" t="n"/>
      <c r="I12" s="360" t="n">
        <v>0</v>
      </c>
      <c r="J12" s="359" t="n"/>
    </row>
    <row r="13" ht="21" customHeight="1" s="290">
      <c r="A13" s="371" t="n"/>
      <c r="B13" s="390" t="inlineStr">
        <is>
          <t>APHA 1010 Filtration</t>
        </is>
      </c>
      <c r="C13" s="390" t="inlineStr">
        <is>
          <t>Lorem Ipsum</t>
        </is>
      </c>
      <c r="D13" s="359" t="inlineStr">
        <is>
          <t>Dolar summer set</t>
        </is>
      </c>
      <c r="E13" s="389" t="n"/>
      <c r="F13" s="359" t="n"/>
      <c r="G13" s="432" t="n"/>
      <c r="H13" s="359" t="n"/>
      <c r="I13" s="360" t="n">
        <v>0</v>
      </c>
      <c r="J13" s="359" t="n"/>
    </row>
  </sheetData>
  <conditionalFormatting sqref="A1:J1">
    <cfRule type="expression" rank="0" priority="2" equalAverage="0" aboveAverage="0" dxfId="0" text="" percent="0" bottom="0">
      <formula>LEN(TRIM(A1))=0</formula>
    </cfRule>
  </conditionalFormatting>
  <dataValidations count="4">
    <dataValidation sqref="F4:F13" showDropDown="0" showInputMessage="0" showErrorMessage="1" allowBlank="1" type="list" errorStyle="stop" operator="equal">
      <formula1>Calculations!$A$4:$A13</formula1>
      <formula2>0</formula2>
    </dataValidation>
    <dataValidation sqref="H4:H13" showDropDown="0" showInputMessage="0" showErrorMessage="0" allowBlank="1" type="list" errorStyle="stop" operator="equal">
      <formula1>Suppliers!$A$4:$A13</formula1>
      <formula2>0</formula2>
    </dataValidation>
    <dataValidation sqref="I4:I13" showDropDown="0" showInputMessage="0" showErrorMessage="1" allowBlank="1" type="list" errorStyle="stop" operator="equal">
      <formula1>"0,1"</formula1>
      <formula2>0</formula2>
    </dataValidation>
    <dataValidation sqref="G5:G13" showDropDown="0" showInputMessage="0" showErrorMessage="0" allowBlank="1" type="list" errorStyle="stop" operator="equal">
      <formula1>Instruments!$B$4:$B13</formula1>
      <formula2>0</formula2>
    </dataValidation>
  </dataValidation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tabColor rgb="FF5DD727"/>
    <outlinePr summaryBelow="1" summaryRight="1"/>
    <pageSetUpPr fitToPage="0"/>
  </sheetPr>
  <dimension ref="A1:K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11.84" customWidth="1" style="289" min="1" max="1"/>
    <col width="33.26" customWidth="1" style="289" min="2" max="2"/>
    <col width="14.37" customWidth="1" style="289" min="3" max="3"/>
    <col width="14.11" customWidth="1" style="289" min="4" max="4"/>
    <col width="15.37" customWidth="1" style="289" min="5" max="5"/>
    <col width="22.81" customWidth="1" style="289" min="6" max="6"/>
    <col width="15.99" customWidth="1" style="289" min="7" max="8"/>
    <col width="34.77" customWidth="1" style="289" min="9" max="9"/>
    <col width="8.94" customWidth="1" style="289" min="10" max="10"/>
    <col width="26.7" customWidth="1" style="289" min="11" max="11"/>
    <col width="12.72" customWidth="1" style="289" min="12" max="1024"/>
  </cols>
  <sheetData>
    <row r="1" hidden="1" ht="28.5" customHeight="1" s="290">
      <c r="A1" s="433" t="inlineStr">
        <is>
          <t>title</t>
        </is>
      </c>
      <c r="B1" s="380" t="inlineStr">
        <is>
          <t>instrument</t>
        </is>
      </c>
      <c r="C1" s="303" t="inlineStr">
        <is>
          <t>date</t>
        </is>
      </c>
      <c r="D1" s="303" t="inlineStr">
        <is>
          <t>validfrom</t>
        </is>
      </c>
      <c r="E1" s="324" t="inlineStr">
        <is>
          <t>validto</t>
        </is>
      </c>
      <c r="F1" s="303" t="inlineStr">
        <is>
          <t>agency</t>
        </is>
      </c>
      <c r="G1" s="324" t="inlineStr">
        <is>
          <t>preparedby</t>
        </is>
      </c>
      <c r="H1" s="324" t="inlineStr">
        <is>
          <t>approvedby</t>
        </is>
      </c>
      <c r="I1" s="303" t="inlineStr">
        <is>
          <t>remarks</t>
        </is>
      </c>
      <c r="J1" s="303" t="inlineStr">
        <is>
          <t>report</t>
        </is>
      </c>
      <c r="K1" s="303" t="n"/>
    </row>
    <row r="2" ht="37.5" customHeight="1" s="290">
      <c r="A2" s="434">
        <f>HYPERLINK("https://www.bikalims.org/manual/instrument-interfacing/instrument-maintenance","Instrument Calibration and Maintenance Certificates")</f>
        <v/>
      </c>
      <c r="C2" s="354" t="inlineStr">
        <is>
          <t>Dates</t>
        </is>
      </c>
      <c r="D2" s="331" t="n"/>
      <c r="E2" s="332" t="n"/>
      <c r="F2" s="354" t="inlineStr">
        <is>
          <t>Responsibles</t>
        </is>
      </c>
      <c r="G2" s="331" t="n"/>
      <c r="H2" s="332" t="n"/>
      <c r="I2" s="435" t="n"/>
      <c r="J2" s="435" t="n"/>
      <c r="K2" s="307">
        <f>HYPERLINK("https://www.bikalabs.com","Creative Commons BYSA
Bika Lab Systems")</f>
        <v/>
      </c>
    </row>
    <row r="3" ht="33.75" customHeight="1" s="290">
      <c r="A3" s="335" t="inlineStr">
        <is>
          <t>Certificate ID</t>
        </is>
      </c>
      <c r="B3" s="334" t="inlineStr">
        <is>
          <t>⭐ Instrument</t>
        </is>
      </c>
      <c r="C3" s="356" t="inlineStr">
        <is>
          <t>Issued</t>
        </is>
      </c>
      <c r="D3" s="334" t="inlineStr">
        <is>
          <t>⭐ Valid from</t>
        </is>
      </c>
      <c r="E3" s="334" t="inlineStr">
        <is>
          <t>⭐ Valid to</t>
        </is>
      </c>
      <c r="F3" s="356" t="inlineStr">
        <is>
          <t>Agency</t>
        </is>
      </c>
      <c r="G3" s="356" t="inlineStr">
        <is>
          <t>Prepared by</t>
        </is>
      </c>
      <c r="H3" s="356" t="inlineStr">
        <is>
          <t>Approved by</t>
        </is>
      </c>
      <c r="I3" s="356" t="inlineStr">
        <is>
          <t>Remarks</t>
        </is>
      </c>
      <c r="J3" s="436" t="inlineStr">
        <is>
          <t>Report upload file</t>
        </is>
      </c>
      <c r="K3" s="310" t="n"/>
    </row>
    <row r="4" ht="18" customHeight="1" s="290">
      <c r="A4" s="437" t="inlineStr">
        <is>
          <t>ICal22-001</t>
        </is>
      </c>
      <c r="B4" s="438" t="inlineStr">
        <is>
          <t>Balance</t>
        </is>
      </c>
      <c r="C4" s="421" t="n">
        <v>44564</v>
      </c>
      <c r="D4" s="421" t="n">
        <v>44562</v>
      </c>
      <c r="E4" s="421" t="n">
        <v>46023</v>
      </c>
      <c r="F4" s="438" t="inlineStr">
        <is>
          <t>Bika Lab Systems</t>
        </is>
      </c>
      <c r="G4" s="438" t="inlineStr">
        <is>
          <t>Mpasa Manager</t>
        </is>
      </c>
      <c r="H4" s="438" t="inlineStr">
        <is>
          <t>Mpasa Manager</t>
        </is>
      </c>
      <c r="I4" s="438" t="inlineStr">
        <is>
          <t>Pre-commissioning inspection certificate</t>
        </is>
      </c>
      <c r="J4" s="438" t="n"/>
      <c r="K4" s="438" t="n"/>
    </row>
    <row r="5" ht="18" customHeight="1" s="290">
      <c r="A5" s="437" t="inlineStr">
        <is>
          <t>ICal22-002</t>
        </is>
      </c>
      <c r="B5" s="438" t="inlineStr">
        <is>
          <t>Microscope</t>
        </is>
      </c>
      <c r="C5" s="421" t="n">
        <v>44564</v>
      </c>
      <c r="D5" s="421" t="n">
        <v>44562</v>
      </c>
      <c r="E5" s="421" t="n">
        <v>46023</v>
      </c>
      <c r="F5" s="438" t="inlineStr">
        <is>
          <t>Bika Lab Systems</t>
        </is>
      </c>
      <c r="G5" s="438" t="inlineStr">
        <is>
          <t>Mpasa Manager</t>
        </is>
      </c>
      <c r="H5" s="438" t="inlineStr">
        <is>
          <t>Mpasa Manager</t>
        </is>
      </c>
      <c r="I5" s="438" t="inlineStr">
        <is>
          <t>Pre-commissioning inspection certificate</t>
        </is>
      </c>
      <c r="J5" s="438" t="n"/>
      <c r="K5" s="438" t="n"/>
    </row>
    <row r="6" ht="18" customHeight="1" s="290">
      <c r="A6" s="437" t="inlineStr">
        <is>
          <t>ICal22-003</t>
        </is>
      </c>
      <c r="B6" s="438" t="inlineStr">
        <is>
          <t>Multi purpose Probe</t>
        </is>
      </c>
      <c r="C6" s="421" t="n">
        <v>44564</v>
      </c>
      <c r="D6" s="421" t="n">
        <v>44562</v>
      </c>
      <c r="E6" s="421" t="n">
        <v>46023</v>
      </c>
      <c r="F6" s="438" t="inlineStr">
        <is>
          <t>Bika Lab Systems</t>
        </is>
      </c>
      <c r="G6" s="438" t="inlineStr">
        <is>
          <t>Mpasa Manager</t>
        </is>
      </c>
      <c r="H6" s="438" t="inlineStr">
        <is>
          <t>Mpasa Manager</t>
        </is>
      </c>
      <c r="I6" s="438" t="inlineStr">
        <is>
          <t>Pre-commissioning inspection certificate</t>
        </is>
      </c>
      <c r="J6" s="438" t="n"/>
      <c r="K6" s="438" t="n"/>
    </row>
    <row r="7" ht="18" customHeight="1" s="290">
      <c r="A7" s="437" t="inlineStr">
        <is>
          <t>ICal22-004</t>
        </is>
      </c>
      <c r="B7" s="438" t="inlineStr">
        <is>
          <t>Smart Meter</t>
        </is>
      </c>
      <c r="C7" s="421" t="n">
        <v>44564</v>
      </c>
      <c r="D7" s="421" t="n">
        <v>44562</v>
      </c>
      <c r="E7" s="421" t="n">
        <v>46023</v>
      </c>
      <c r="F7" s="438" t="inlineStr">
        <is>
          <t>Bika Lab Systems</t>
        </is>
      </c>
      <c r="G7" s="438" t="inlineStr">
        <is>
          <t>Mpasa Manager</t>
        </is>
      </c>
      <c r="H7" s="438" t="inlineStr">
        <is>
          <t>Mpasa Manager</t>
        </is>
      </c>
      <c r="I7" s="438" t="inlineStr">
        <is>
          <t>Pre-commissioning inspection certificate</t>
        </is>
      </c>
      <c r="J7" s="438" t="n"/>
      <c r="K7" s="438" t="n"/>
    </row>
    <row r="8" ht="18" customHeight="1" s="290">
      <c r="A8" s="437" t="inlineStr">
        <is>
          <t>ICal22-005</t>
        </is>
      </c>
      <c r="B8" s="438" t="inlineStr">
        <is>
          <t>Spectrophotometer</t>
        </is>
      </c>
      <c r="C8" s="421" t="n">
        <v>44564</v>
      </c>
      <c r="D8" s="421" t="n">
        <v>44562</v>
      </c>
      <c r="E8" s="421" t="n">
        <v>46023</v>
      </c>
      <c r="F8" s="438" t="inlineStr">
        <is>
          <t>Bika Lab Systems</t>
        </is>
      </c>
      <c r="G8" s="438" t="inlineStr">
        <is>
          <t>Mpasa Manager</t>
        </is>
      </c>
      <c r="H8" s="438" t="inlineStr">
        <is>
          <t>Mpasa Manager</t>
        </is>
      </c>
      <c r="I8" s="438" t="inlineStr">
        <is>
          <t>Pre-commissioning inspection certificate</t>
        </is>
      </c>
      <c r="J8" s="438" t="n"/>
      <c r="K8" s="438" t="n"/>
    </row>
    <row r="9" ht="18" customHeight="1" s="290">
      <c r="A9" s="437" t="inlineStr">
        <is>
          <t>ICal22-006</t>
        </is>
      </c>
      <c r="B9" s="438" t="inlineStr">
        <is>
          <t>Thermometer</t>
        </is>
      </c>
      <c r="C9" s="421" t="n">
        <v>44564</v>
      </c>
      <c r="D9" s="421" t="n">
        <v>44562</v>
      </c>
      <c r="E9" s="421" t="n">
        <v>46023</v>
      </c>
      <c r="F9" s="438" t="inlineStr">
        <is>
          <t>Bika Lab Systems</t>
        </is>
      </c>
      <c r="G9" s="438" t="inlineStr">
        <is>
          <t>Mpasa Manager</t>
        </is>
      </c>
      <c r="H9" s="438" t="inlineStr">
        <is>
          <t>Mpasa Manager</t>
        </is>
      </c>
      <c r="I9" s="438" t="inlineStr">
        <is>
          <t>Pre-commissioning inspection certificate</t>
        </is>
      </c>
      <c r="J9" s="438" t="n"/>
      <c r="K9" s="438" t="n"/>
    </row>
    <row r="10" ht="18" customHeight="1" s="290">
      <c r="A10" s="437" t="inlineStr">
        <is>
          <t>ICal22-007</t>
        </is>
      </c>
      <c r="B10" s="438" t="inlineStr">
        <is>
          <t>Titrator</t>
        </is>
      </c>
      <c r="C10" s="421" t="n">
        <v>44564</v>
      </c>
      <c r="D10" s="421" t="n">
        <v>44562</v>
      </c>
      <c r="E10" s="421" t="n">
        <v>46023</v>
      </c>
      <c r="F10" s="438" t="inlineStr">
        <is>
          <t>Bika Lab Systems</t>
        </is>
      </c>
      <c r="G10" s="438" t="inlineStr">
        <is>
          <t>Mpasa Manager</t>
        </is>
      </c>
      <c r="H10" s="438" t="inlineStr">
        <is>
          <t>Mpasa Manager</t>
        </is>
      </c>
      <c r="I10" s="438" t="inlineStr">
        <is>
          <t>Pre-commissioning inspection certificate</t>
        </is>
      </c>
      <c r="J10" s="438" t="n"/>
      <c r="K10" s="438" t="n"/>
    </row>
  </sheetData>
  <mergeCells count="3">
    <mergeCell ref="C2:E2"/>
    <mergeCell ref="A2:B2"/>
    <mergeCell ref="F2:H2"/>
  </mergeCells>
  <conditionalFormatting sqref="F4:F10">
    <cfRule type="expression" rank="0" priority="2" equalAverage="0" aboveAverage="0" dxfId="0" text="" percent="0" bottom="0">
      <formula>NOT(COUNTIF(INDIRECT("Suppliers!"&amp;"A$4:A"),F4)&gt;0)*NOT(ISBLANK(F4))</formula>
    </cfRule>
  </conditionalFormatting>
  <conditionalFormatting sqref="A1 C1:K1">
    <cfRule type="expression" rank="0" priority="3" equalAverage="0" aboveAverage="0" dxfId="0" text="" percent="0" bottom="0">
      <formula>LEN(TRIM(A1))=0</formula>
    </cfRule>
  </conditionalFormatting>
  <dataValidations count="2">
    <dataValidation sqref="B4:B10" showDropDown="0" showInputMessage="0" showErrorMessage="1" allowBlank="1" type="list" errorStyle="stop" operator="equal">
      <formula1>Instruments!$B$4:$B10</formula1>
      <formula2>0</formula2>
    </dataValidation>
    <dataValidation sqref="F4:F10" showDropDown="0" showInputMessage="0" showErrorMessage="1" allowBlank="1" type="list" errorStyle="stop" operator="equal">
      <formula1>Suppliers!$A$4:$A10</formula1>
      <formula2>0</formula2>
    </dataValidation>
  </dataValidation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tabColor rgb="FFFF0000"/>
    <outlinePr summaryBelow="1" summaryRight="1"/>
    <pageSetUpPr fitToPage="0"/>
  </sheetPr>
  <dimension ref="A1:E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5.57" customWidth="1" style="289" min="1" max="1"/>
    <col width="30.1" customWidth="1" style="289" min="2" max="2"/>
    <col width="31.49" customWidth="1" style="289" min="3" max="3"/>
    <col width="25.2" customWidth="1" style="289" min="4" max="5"/>
    <col width="12.72" customWidth="1" style="289" min="6" max="1024"/>
  </cols>
  <sheetData>
    <row r="1" ht="28.5" customHeight="1" s="290">
      <c r="A1" s="303" t="inlineStr">
        <is>
          <t>title</t>
        </is>
      </c>
      <c r="B1" s="303" t="inlineStr">
        <is>
          <t>description</t>
        </is>
      </c>
      <c r="C1" s="303" t="inlineStr">
        <is>
          <t>Department_title</t>
        </is>
      </c>
      <c r="D1" s="303" t="inlineStr">
        <is>
          <t>SortKey</t>
        </is>
      </c>
      <c r="E1" s="303" t="n"/>
    </row>
    <row r="2" ht="28.5" customHeight="1" s="290">
      <c r="A2" s="329" t="inlineStr">
        <is>
          <t>Analysis Categories</t>
        </is>
      </c>
      <c r="B2" s="327" t="n"/>
      <c r="C2" s="439" t="n"/>
      <c r="D2" s="439" t="n"/>
      <c r="E2" s="307">
        <f>HYPERLINK("https://www.bikalabs.com","Creative Commons BYSA
Bika Lab Systems")</f>
        <v/>
      </c>
    </row>
    <row r="3" ht="29.25" customHeight="1" s="290">
      <c r="A3" s="356" t="inlineStr">
        <is>
          <t>⭐ Title</t>
        </is>
      </c>
      <c r="B3" s="356" t="inlineStr">
        <is>
          <t>Description</t>
        </is>
      </c>
      <c r="C3" s="356" t="inlineStr">
        <is>
          <t>⭐ Department</t>
        </is>
      </c>
      <c r="D3" s="356" t="inlineStr">
        <is>
          <t>SortKey</t>
        </is>
      </c>
    </row>
    <row r="4" ht="21" customHeight="1" s="290">
      <c r="A4" s="317" t="inlineStr">
        <is>
          <t>Anions</t>
        </is>
      </c>
      <c r="B4" s="390" t="inlineStr">
        <is>
          <t>Desc unset bripajux</t>
        </is>
      </c>
      <c r="C4" s="317" t="inlineStr">
        <is>
          <t>Chemistry</t>
        </is>
      </c>
      <c r="D4" s="317" t="n">
        <v>10</v>
      </c>
      <c r="E4" s="317" t="n"/>
    </row>
    <row r="5" ht="21" customHeight="1" s="290">
      <c r="A5" s="390" t="inlineStr">
        <is>
          <t>Inorganic Nonmetalic</t>
        </is>
      </c>
      <c r="B5" s="390" t="inlineStr">
        <is>
          <t>Desc unset bripajux</t>
        </is>
      </c>
      <c r="C5" s="317" t="inlineStr">
        <is>
          <t>Chemistry</t>
        </is>
      </c>
      <c r="D5" s="317" t="n">
        <v>20</v>
      </c>
      <c r="E5" s="317" t="n"/>
    </row>
    <row r="6" ht="21" customHeight="1" s="290">
      <c r="A6" s="317" t="inlineStr">
        <is>
          <t>Metals and Cations</t>
        </is>
      </c>
      <c r="B6" s="390" t="inlineStr">
        <is>
          <t>Desc unset bripajux</t>
        </is>
      </c>
      <c r="C6" s="317" t="inlineStr">
        <is>
          <t>Chemistry</t>
        </is>
      </c>
      <c r="D6" s="317" t="n">
        <v>30</v>
      </c>
      <c r="E6" s="317" t="n"/>
    </row>
    <row r="7" ht="21" customHeight="1" s="290">
      <c r="A7" s="317" t="inlineStr">
        <is>
          <t>Microbiology</t>
        </is>
      </c>
      <c r="B7" s="390" t="inlineStr">
        <is>
          <t>Desc unset bripajux</t>
        </is>
      </c>
      <c r="C7" s="317" t="inlineStr">
        <is>
          <t>Microbiology</t>
        </is>
      </c>
      <c r="D7" s="317" t="n">
        <v>40</v>
      </c>
      <c r="E7" s="317" t="n"/>
    </row>
    <row r="8" ht="21" customHeight="1" s="290">
      <c r="A8" s="317" t="inlineStr">
        <is>
          <t>Organic</t>
        </is>
      </c>
      <c r="B8" s="390" t="inlineStr">
        <is>
          <t>Desc unset bripajux</t>
        </is>
      </c>
      <c r="C8" s="317" t="inlineStr">
        <is>
          <t>Chemistry</t>
        </is>
      </c>
      <c r="D8" s="317" t="n">
        <v>50</v>
      </c>
      <c r="E8" s="317" t="n"/>
    </row>
    <row r="9" ht="21" customHeight="1" s="290">
      <c r="A9" s="317" t="inlineStr">
        <is>
          <t>Physical Properties</t>
        </is>
      </c>
      <c r="B9" s="390" t="inlineStr">
        <is>
          <t>Desc unset bripajux</t>
        </is>
      </c>
      <c r="C9" s="317" t="inlineStr">
        <is>
          <t>Chemistry</t>
        </is>
      </c>
      <c r="D9" s="317" t="n">
        <v>60</v>
      </c>
      <c r="E9" s="317" t="n"/>
    </row>
  </sheetData>
  <conditionalFormatting sqref="A1:E1">
    <cfRule type="expression" rank="0" priority="2" equalAverage="0" aboveAverage="0" dxfId="0" text="" percent="0" bottom="0">
      <formula>LEN(TRIM(A1))=0</formula>
    </cfRule>
  </conditionalFormatting>
  <conditionalFormatting sqref="C4:C9">
    <cfRule type="expression" rank="0" priority="3" equalAverage="0" aboveAverage="0" dxfId="0" text="" percent="0" bottom="0">
      <formula>NOT(COUNTIF(INDIRECT("Lab Departments!"&amp;"A$4:A"),C4)&gt;0)*NOT(ISBLANK(C4))</formula>
    </cfRule>
  </conditionalFormatting>
  <dataValidations count="1">
    <dataValidation sqref="C4:C9" showDropDown="0" showInputMessage="1" showErrorMessage="1" allowBlank="1" prompt="Select a valid lab department - Please select a valid lab department from the drop-down menu. The list is maintained on the 'Lab Departments' sheet" type="list" errorStyle="stop" operator="equal">
      <formula1>'Lab Departments'!$A$4:$A$8</formula1>
      <formula2>0</formula2>
    </dataValidation>
  </dataValidation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tabColor rgb="FFFF0000"/>
    <outlinePr summaryBelow="1" summaryRight="1"/>
    <pageSetUpPr fitToPage="1"/>
  </sheetPr>
  <dimension ref="A1:AL22"/>
  <sheetViews>
    <sheetView showFormulas="0" showGridLines="1" showRowColHeaders="1" showZeros="1" rightToLeft="0" tabSelected="1" showOutlineSymbols="1" defaultGridColor="1" view="normal" topLeftCell="J1" colorId="64" zoomScale="100" zoomScaleNormal="100" zoomScalePageLayoutView="100" workbookViewId="0">
      <selection pane="topLeft" activeCell="AA1" activeCellId="0" sqref="AA:AA"/>
    </sheetView>
  </sheetViews>
  <sheetFormatPr baseColWidth="8" defaultColWidth="10.16015625" defaultRowHeight="15" zeroHeight="0" outlineLevelRow="0"/>
  <cols>
    <col width="7.06" customWidth="1" style="289" min="1" max="1"/>
    <col hidden="1" outlineLevel="1" width="12.35" customWidth="1" style="289" min="2" max="2"/>
    <col width="17.12" customWidth="1" style="289" min="3" max="3"/>
    <col hidden="1" outlineLevel="1" width="17.26" customWidth="1" style="289" min="4" max="4"/>
    <col hidden="1" outlineLevel="1" width="30.49" customWidth="1" style="289" min="5" max="5"/>
    <col width="16.13" customWidth="1" style="289" min="6" max="6"/>
    <col width="13.73" customWidth="1" style="289" min="7" max="7"/>
    <col width="20.16" customWidth="1" style="289" min="8" max="8"/>
    <col outlineLevel="1" width="15.62" customWidth="1" style="289" min="9" max="10"/>
    <col width="15.24" customWidth="1" style="289" min="11" max="11"/>
    <col outlineLevel="1" width="11.84" customWidth="1" style="289" min="12" max="12"/>
    <col outlineLevel="1" width="15.37" customWidth="1" style="289" min="13" max="13"/>
    <col width="13" customWidth="1" style="289" min="14" max="14"/>
    <col outlineLevel="1" width="9.699999999999999" customWidth="1" style="289" min="15" max="16"/>
    <col width="11.59" customWidth="1" style="289" min="17" max="17"/>
    <col outlineLevel="1" width="10" customWidth="1" style="289" min="18" max="18"/>
    <col outlineLevel="1" width="10" customWidth="1" style="289" min="19" max="19"/>
    <col width="10" customWidth="1" style="289" min="20" max="20"/>
    <col hidden="1" outlineLevel="1" width="24.07" customWidth="1" style="289" min="21" max="21"/>
    <col hidden="1" outlineLevel="1" width="13.86" customWidth="1" style="289" min="22" max="22"/>
    <col hidden="1" outlineLevel="1" width="11.09" customWidth="1" style="289" min="23" max="23"/>
    <col width="10.58" customWidth="1" style="289" min="24" max="24"/>
    <col hidden="1" outlineLevel="1" width="13.73" customWidth="1" style="289" min="25" max="25"/>
    <col hidden="1" outlineLevel="1" width="12.22" customWidth="1" style="289" min="26" max="26"/>
    <col width="15.5" customWidth="1" style="289" min="27" max="27"/>
    <col outlineLevel="1" width="11" customWidth="1" style="289" min="28" max="28"/>
    <col outlineLevel="1" width="11" customWidth="1" style="289" min="29" max="29"/>
    <col width="11" customWidth="1" style="289" min="30" max="30"/>
    <col width="11" customWidth="1" style="289" min="31" max="32"/>
    <col width="12.72" customWidth="1" style="289" min="33" max="1024"/>
  </cols>
  <sheetData>
    <row r="1" ht="28.5" customHeight="1" s="290">
      <c r="A1" s="440" t="inlineStr">
        <is>
          <t>ProtocolID</t>
        </is>
      </c>
      <c r="B1" s="440" t="inlineStr">
        <is>
          <t>CommercialID</t>
        </is>
      </c>
      <c r="C1" s="440" t="inlineStr">
        <is>
          <t>title</t>
        </is>
      </c>
      <c r="D1" s="441" t="inlineStr">
        <is>
          <t>ShortTitle</t>
        </is>
      </c>
      <c r="E1" s="442" t="inlineStr">
        <is>
          <t>description</t>
        </is>
      </c>
      <c r="F1" s="443" t="inlineStr">
        <is>
          <t>Keyword</t>
        </is>
      </c>
      <c r="G1" s="440" t="inlineStr">
        <is>
          <t>PointOfCapture</t>
        </is>
      </c>
      <c r="H1" s="444" t="inlineStr">
        <is>
          <t>AnalysisCategory_title</t>
        </is>
      </c>
      <c r="I1" s="440" t="inlineStr">
        <is>
          <t>Department_title</t>
        </is>
      </c>
      <c r="J1" s="440" t="inlineStr">
        <is>
          <t>Attachment</t>
        </is>
      </c>
      <c r="K1" s="443" t="inlineStr">
        <is>
          <t>Unit</t>
        </is>
      </c>
      <c r="L1" s="445" t="inlineStr">
        <is>
          <t>Precision</t>
        </is>
      </c>
      <c r="M1" s="446" t="inlineStr">
        <is>
          <t>ExponentialFormatPrecision</t>
        </is>
      </c>
      <c r="N1" s="447" t="inlineStr">
        <is>
          <t>ResultType</t>
        </is>
      </c>
      <c r="O1" s="448" t="inlineStr">
        <is>
          <t>MaxTimeAllowed_days</t>
        </is>
      </c>
      <c r="P1" s="448" t="inlineStr">
        <is>
          <t>MaxTimeAllowed_hours</t>
        </is>
      </c>
      <c r="Q1" s="448" t="inlineStr">
        <is>
          <t>MaxTimeAllowed_minutes</t>
        </is>
      </c>
      <c r="R1" s="449" t="inlineStr">
        <is>
          <t>MaxHoldingTime_days</t>
        </is>
      </c>
      <c r="S1" s="449" t="inlineStr">
        <is>
          <t>MaxHoldingTime_hours</t>
        </is>
      </c>
      <c r="T1" s="449" t="inlineStr">
        <is>
          <t>MaxHoldingTime_minutes</t>
        </is>
      </c>
      <c r="U1" s="448" t="inlineStr">
        <is>
          <t>Price</t>
        </is>
      </c>
      <c r="V1" s="448" t="inlineStr">
        <is>
          <t>BulkPrice</t>
        </is>
      </c>
      <c r="W1" s="448" t="inlineStr">
        <is>
          <t>VAT</t>
        </is>
      </c>
      <c r="X1" s="450" t="inlineStr">
        <is>
          <t>DefaultMethod_title</t>
        </is>
      </c>
      <c r="Y1" s="451" t="inlineStr">
        <is>
          <t>DefaultInstrument_title</t>
        </is>
      </c>
      <c r="Z1" s="448" t="inlineStr">
        <is>
          <t>DuplicateVariation</t>
        </is>
      </c>
      <c r="AA1" s="448" t="inlineStr">
        <is>
          <t>Accredited</t>
        </is>
      </c>
      <c r="AB1" s="448" t="inlineStr">
        <is>
          <t>LowerDetectionLimit</t>
        </is>
      </c>
      <c r="AC1" s="448" t="inlineStr">
        <is>
          <t>UpperDetectionLimit</t>
        </is>
      </c>
      <c r="AD1" s="449" t="inlineStr">
        <is>
          <t>LowerLimitOfQuantification</t>
        </is>
      </c>
      <c r="AE1" s="449" t="inlineStr">
        <is>
          <t>UpperLimitOfQuantification</t>
        </is>
      </c>
      <c r="AF1" s="448" t="inlineStr">
        <is>
          <t>DetectionLimitSelector</t>
        </is>
      </c>
      <c r="AG1" s="448" t="inlineStr">
        <is>
          <t>Separate</t>
        </is>
      </c>
      <c r="AH1" s="446" t="inlineStr">
        <is>
          <t>Container_title</t>
        </is>
      </c>
      <c r="AI1" s="448" t="inlineStr">
        <is>
          <t>Preservation_title</t>
        </is>
      </c>
      <c r="AJ1" s="448" t="inlineStr">
        <is>
          <t>SortKey</t>
        </is>
      </c>
      <c r="AK1" s="452" t="n"/>
      <c r="AL1" s="452" t="n"/>
    </row>
    <row r="2" ht="37.5" customHeight="1" s="290">
      <c r="A2" s="453" t="n"/>
      <c r="B2" s="454" t="n"/>
      <c r="C2" s="453" t="n"/>
      <c r="D2" s="455" t="n"/>
      <c r="E2" s="455" t="n"/>
      <c r="F2" s="456" t="inlineStr">
        <is>
          <t>ASs</t>
        </is>
      </c>
      <c r="G2" s="454" t="n"/>
      <c r="H2" s="457" t="n"/>
      <c r="I2" s="454" t="n"/>
      <c r="J2" s="454" t="n"/>
      <c r="K2" s="458" t="inlineStr">
        <is>
          <t>Precision</t>
        </is>
      </c>
      <c r="L2" s="459" t="n"/>
      <c r="M2" s="460" t="n"/>
      <c r="N2" t="inlineStr">
        <is>
          <t>Result type</t>
        </is>
      </c>
      <c r="O2" s="461" t="inlineStr">
        <is>
          <t>Max TAT
Turnaround Time</t>
        </is>
      </c>
      <c r="P2" s="459" t="n"/>
      <c r="Q2" s="460" t="n"/>
      <c r="R2" t="inlineStr">
        <is>
          <t>Maximum holding time</t>
        </is>
      </c>
      <c r="U2" s="461" t="inlineStr">
        <is>
          <t>Price</t>
        </is>
      </c>
      <c r="V2" s="459" t="n"/>
      <c r="W2" s="460" t="n"/>
      <c r="X2" s="403" t="inlineStr">
        <is>
          <t>Method defaults</t>
        </is>
      </c>
      <c r="Y2" s="331" t="n"/>
      <c r="Z2" s="331" t="n"/>
      <c r="AA2" s="332" t="n"/>
      <c r="AB2" s="462" t="inlineStr">
        <is>
          <t>Detection and quantification limits</t>
        </is>
      </c>
      <c r="AC2" s="459" t="n"/>
      <c r="AD2" s="459" t="n"/>
      <c r="AE2" s="459" t="n"/>
      <c r="AF2" s="460" t="n"/>
      <c r="AG2" s="435" t="inlineStr">
        <is>
          <t>Container and Preservation Defaults</t>
        </is>
      </c>
      <c r="AJ2" s="456" t="n"/>
      <c r="AK2" s="373">
        <f>HYPERLINK("https://www.bikalabs.com","Creative Commons BYSA
Bika Lab Systems")</f>
        <v/>
      </c>
      <c r="AL2" s="463" t="n"/>
    </row>
    <row r="3" ht="31.5" customHeight="1" s="290">
      <c r="A3" s="464" t="inlineStr">
        <is>
          <t>Protocol ID</t>
        </is>
      </c>
      <c r="B3" s="464" t="inlineStr">
        <is>
          <t>Commercial ID</t>
        </is>
      </c>
      <c r="C3" s="335" t="inlineStr">
        <is>
          <t>⭐ Title</t>
        </is>
      </c>
      <c r="D3" s="335" t="inlineStr">
        <is>
          <t>Short Title</t>
        </is>
      </c>
      <c r="E3" s="335" t="inlineStr">
        <is>
          <t>Description</t>
        </is>
      </c>
      <c r="F3" s="335" t="inlineStr">
        <is>
          <t>⭐ Keyword</t>
        </is>
      </c>
      <c r="G3" s="335" t="inlineStr">
        <is>
          <t>⭐ Point of capture</t>
        </is>
      </c>
      <c r="H3" s="335" t="inlineStr">
        <is>
          <t>⭐ Analysis category</t>
        </is>
      </c>
      <c r="I3" s="335" t="inlineStr">
        <is>
          <t>⭐ Lab department</t>
        </is>
      </c>
      <c r="J3" s="335" t="inlineStr">
        <is>
          <t>⭐ Attachments? Y/N</t>
        </is>
      </c>
      <c r="K3" s="335" t="inlineStr">
        <is>
          <t>Unit</t>
        </is>
      </c>
      <c r="L3" s="465" t="inlineStr">
        <is>
          <t>Standard</t>
        </is>
      </c>
      <c r="M3" s="334" t="inlineStr">
        <is>
          <t>⭐ Exponential format</t>
        </is>
      </c>
      <c r="N3" s="466" t="inlineStr">
        <is>
          <t>Result type</t>
        </is>
      </c>
      <c r="O3" s="334" t="inlineStr">
        <is>
          <t>Days</t>
        </is>
      </c>
      <c r="P3" s="334" t="inlineStr">
        <is>
          <t>Hours</t>
        </is>
      </c>
      <c r="Q3" s="334" t="inlineStr">
        <is>
          <t>Minutes</t>
        </is>
      </c>
      <c r="R3" s="466" t="inlineStr">
        <is>
          <t>Days</t>
        </is>
      </c>
      <c r="S3" s="466" t="inlineStr">
        <is>
          <t>Hours</t>
        </is>
      </c>
      <c r="T3" s="466" t="inlineStr">
        <is>
          <t>Minutes</t>
        </is>
      </c>
      <c r="U3" s="334" t="inlineStr">
        <is>
          <t>Standard</t>
        </is>
      </c>
      <c r="V3" s="334" t="inlineStr">
        <is>
          <t>Bulk</t>
        </is>
      </c>
      <c r="W3" s="334" t="inlineStr">
        <is>
          <t>VAT %</t>
        </is>
      </c>
      <c r="X3" s="335" t="inlineStr">
        <is>
          <t>Method</t>
        </is>
      </c>
      <c r="Y3" s="335" t="inlineStr">
        <is>
          <t>Instrument</t>
        </is>
      </c>
      <c r="Z3" s="334" t="inlineStr">
        <is>
          <t>Duplicate variation %</t>
        </is>
      </c>
      <c r="AA3" s="334" t="inlineStr">
        <is>
          <t>Accredited? Y/N</t>
        </is>
      </c>
      <c r="AB3" s="334" t="inlineStr">
        <is>
          <t>LLOD</t>
        </is>
      </c>
      <c r="AC3" s="334" t="inlineStr">
        <is>
          <t>ULOD</t>
        </is>
      </c>
      <c r="AD3" s="466" t="inlineStr">
        <is>
          <t>LLOQ</t>
        </is>
      </c>
      <c r="AE3" s="466" t="inlineStr">
        <is>
          <t>ULOQ</t>
        </is>
      </c>
      <c r="AF3" s="334" t="inlineStr">
        <is>
          <t>Selector? Y/N</t>
        </is>
      </c>
      <c r="AG3" s="334" t="inlineStr">
        <is>
          <t>Separate? Y/N</t>
        </is>
      </c>
      <c r="AH3" s="436" t="inlineStr">
        <is>
          <t>Container</t>
        </is>
      </c>
      <c r="AI3" s="436" t="inlineStr">
        <is>
          <t>Preservation</t>
        </is>
      </c>
      <c r="AJ3" s="334" t="inlineStr">
        <is>
          <t>SortKey</t>
        </is>
      </c>
      <c r="AK3" s="467" t="n"/>
      <c r="AL3" s="467" t="n"/>
    </row>
    <row r="4" ht="35.25" customHeight="1" s="290">
      <c r="A4" s="468" t="inlineStr">
        <is>
          <t>AS-210</t>
        </is>
      </c>
      <c r="B4" s="468" t="inlineStr">
        <is>
          <t>ComID001</t>
        </is>
      </c>
      <c r="C4" s="469" t="inlineStr">
        <is>
          <t>Chloride</t>
        </is>
      </c>
      <c r="D4" s="469" t="n"/>
      <c r="E4" s="470" t="inlineStr">
        <is>
          <t>Cloribalo unsuc ferasse patozici und nu nu patr parpazzo</t>
        </is>
      </c>
      <c r="F4" s="471" t="inlineStr">
        <is>
          <t>Chloride</t>
        </is>
      </c>
      <c r="G4" s="468" t="inlineStr">
        <is>
          <t>lab</t>
        </is>
      </c>
      <c r="H4" s="470" t="inlineStr">
        <is>
          <t>Anions</t>
        </is>
      </c>
      <c r="I4" s="472" t="inlineStr">
        <is>
          <t>Chemistry</t>
        </is>
      </c>
      <c r="J4" s="473" t="inlineStr">
        <is>
          <t>Permitted</t>
        </is>
      </c>
      <c r="K4" s="474" t="inlineStr">
        <is>
          <t>mg/L</t>
        </is>
      </c>
      <c r="L4" s="473" t="n">
        <v>2</v>
      </c>
      <c r="M4" s="473" t="n">
        <v>7</v>
      </c>
      <c r="N4" s="475" t="inlineStr">
        <is>
          <t>numeric</t>
        </is>
      </c>
      <c r="O4" s="473" t="n">
        <v>5</v>
      </c>
      <c r="P4" s="473" t="n">
        <v>0</v>
      </c>
      <c r="Q4" s="473" t="n">
        <v>0</v>
      </c>
      <c r="R4" s="475" t="n">
        <v>4</v>
      </c>
      <c r="S4" s="475" t="n">
        <v>3</v>
      </c>
      <c r="T4" s="475" t="n">
        <v>2</v>
      </c>
      <c r="U4" s="473" t="n">
        <v>10</v>
      </c>
      <c r="V4" s="473" t="n">
        <v>8</v>
      </c>
      <c r="W4" s="473" t="n">
        <v>15</v>
      </c>
      <c r="X4" s="470" t="inlineStr">
        <is>
          <t>APHA 1002 Anions</t>
        </is>
      </c>
      <c r="Y4" s="471" t="inlineStr">
        <is>
          <t>Multi purpose Probe</t>
        </is>
      </c>
      <c r="Z4" s="473" t="n">
        <v>5</v>
      </c>
      <c r="AA4" s="473" t="n">
        <v>0</v>
      </c>
      <c r="AB4" s="473" t="n">
        <v>0.05</v>
      </c>
      <c r="AC4" s="473" t="n">
        <v>1000</v>
      </c>
      <c r="AD4" s="475" t="n">
        <v>0.1</v>
      </c>
      <c r="AE4" s="475" t="n">
        <v>900</v>
      </c>
      <c r="AF4" s="468" t="inlineStr">
        <is>
          <t>0</t>
        </is>
      </c>
      <c r="AG4" s="473" t="n">
        <v>0</v>
      </c>
      <c r="AH4" s="476" t="n"/>
      <c r="AI4" s="477" t="n"/>
      <c r="AJ4" s="478" t="n">
        <v>10</v>
      </c>
      <c r="AK4" s="478" t="n"/>
      <c r="AL4" s="478" t="n"/>
    </row>
    <row r="5" ht="18.75" customHeight="1" s="290">
      <c r="A5" s="479" t="inlineStr">
        <is>
          <t>AS-120</t>
        </is>
      </c>
      <c r="B5" s="479" t="inlineStr">
        <is>
          <t>ComID002</t>
        </is>
      </c>
      <c r="C5" s="480" t="inlineStr">
        <is>
          <t>Free Chlorine</t>
        </is>
      </c>
      <c r="D5" s="481" t="n"/>
      <c r="E5" s="482" t="inlineStr">
        <is>
          <t>Cloribalo unsuc ferasse patozici und nu nu patr parpazzo</t>
        </is>
      </c>
      <c r="F5" s="483" t="inlineStr">
        <is>
          <t>FreeCl</t>
        </is>
      </c>
      <c r="G5" s="479" t="inlineStr">
        <is>
          <t>lab</t>
        </is>
      </c>
      <c r="H5" s="482" t="inlineStr">
        <is>
          <t>Anions</t>
        </is>
      </c>
      <c r="I5" s="481" t="inlineStr">
        <is>
          <t>Chemistry</t>
        </is>
      </c>
      <c r="J5" s="484" t="inlineStr">
        <is>
          <t>Permitted</t>
        </is>
      </c>
      <c r="K5" s="485" t="inlineStr">
        <is>
          <t>mg/L</t>
        </is>
      </c>
      <c r="L5" s="484" t="n">
        <v>2</v>
      </c>
      <c r="M5" s="484" t="n">
        <v>7</v>
      </c>
      <c r="N5" s="486" t="inlineStr">
        <is>
          <t>numeric</t>
        </is>
      </c>
      <c r="O5" s="484" t="n">
        <v>5</v>
      </c>
      <c r="P5" s="484" t="n">
        <v>0</v>
      </c>
      <c r="Q5" s="484" t="n">
        <v>0</v>
      </c>
      <c r="R5" s="486" t="n">
        <v>4</v>
      </c>
      <c r="S5" s="486" t="n">
        <v>3</v>
      </c>
      <c r="T5" s="486" t="n">
        <v>2</v>
      </c>
      <c r="U5" s="484" t="n">
        <v>10</v>
      </c>
      <c r="V5" s="484" t="n">
        <v>8</v>
      </c>
      <c r="W5" s="484" t="n">
        <v>15</v>
      </c>
      <c r="X5" s="482" t="inlineStr">
        <is>
          <t>APHA 1002 Anions</t>
        </is>
      </c>
      <c r="Y5" s="483" t="inlineStr">
        <is>
          <t>Multi purpose Probe</t>
        </is>
      </c>
      <c r="Z5" s="484" t="n">
        <v>5</v>
      </c>
      <c r="AA5" s="484" t="n">
        <v>0</v>
      </c>
      <c r="AB5" s="484" t="n">
        <v>0.05</v>
      </c>
      <c r="AC5" s="484" t="n">
        <v>1000</v>
      </c>
      <c r="AD5" s="486" t="n">
        <v>0.1</v>
      </c>
      <c r="AE5" s="486" t="n">
        <v>900</v>
      </c>
      <c r="AF5" s="479" t="inlineStr">
        <is>
          <t>0</t>
        </is>
      </c>
      <c r="AG5" s="484" t="n">
        <v>0</v>
      </c>
      <c r="AH5" s="487" t="n"/>
      <c r="AI5" s="488" t="n"/>
      <c r="AJ5" s="489" t="n">
        <v>20</v>
      </c>
      <c r="AK5" s="489" t="n"/>
      <c r="AL5" s="489" t="n"/>
    </row>
    <row r="6" ht="18.75" customHeight="1" s="290">
      <c r="A6" s="490" t="inlineStr">
        <is>
          <t>AS-160</t>
        </is>
      </c>
      <c r="B6" s="490" t="inlineStr">
        <is>
          <t>ComID003</t>
        </is>
      </c>
      <c r="C6" s="491" t="inlineStr">
        <is>
          <t>Aluminium</t>
        </is>
      </c>
      <c r="D6" s="491" t="n"/>
      <c r="E6" s="492" t="inlineStr">
        <is>
          <t>Cloribalo unsuc ferasse patozici und nu nu patr parpazzo</t>
        </is>
      </c>
      <c r="F6" s="492" t="inlineStr">
        <is>
          <t>Aluminium</t>
        </is>
      </c>
      <c r="G6" s="493" t="inlineStr">
        <is>
          <t>lab</t>
        </is>
      </c>
      <c r="H6" s="494" t="inlineStr">
        <is>
          <t>Metals and Cations</t>
        </is>
      </c>
      <c r="I6" s="491" t="inlineStr">
        <is>
          <t>Chemistry</t>
        </is>
      </c>
      <c r="J6" s="493" t="inlineStr">
        <is>
          <t>Permitted</t>
        </is>
      </c>
      <c r="K6" s="493" t="inlineStr">
        <is>
          <t>mg/L</t>
        </is>
      </c>
      <c r="L6" s="493" t="n">
        <v>2</v>
      </c>
      <c r="M6" s="493" t="n">
        <v>7</v>
      </c>
      <c r="N6" s="495" t="inlineStr">
        <is>
          <t>numeric</t>
        </is>
      </c>
      <c r="O6" s="493" t="n">
        <v>5</v>
      </c>
      <c r="P6" s="493" t="n">
        <v>0</v>
      </c>
      <c r="Q6" s="493" t="n">
        <v>0</v>
      </c>
      <c r="R6" s="495" t="n">
        <v>4</v>
      </c>
      <c r="S6" s="495" t="n">
        <v>3</v>
      </c>
      <c r="T6" s="495" t="n">
        <v>2</v>
      </c>
      <c r="U6" s="493" t="n">
        <v>10</v>
      </c>
      <c r="V6" s="493" t="n">
        <v>8</v>
      </c>
      <c r="W6" s="493" t="n">
        <v>15</v>
      </c>
      <c r="X6" s="492" t="inlineStr">
        <is>
          <t>APHA 1001 Metals</t>
        </is>
      </c>
      <c r="Y6" s="492" t="inlineStr">
        <is>
          <t>Multi purpose Probe</t>
        </is>
      </c>
      <c r="Z6" s="493" t="n">
        <v>5</v>
      </c>
      <c r="AA6" s="493" t="n">
        <v>0</v>
      </c>
      <c r="AB6" s="493" t="n">
        <v>0.05</v>
      </c>
      <c r="AC6" s="493" t="n">
        <v>1000</v>
      </c>
      <c r="AD6" s="495" t="n">
        <v>0.1</v>
      </c>
      <c r="AE6" s="495" t="n">
        <v>900</v>
      </c>
      <c r="AF6" s="490" t="inlineStr">
        <is>
          <t>0</t>
        </is>
      </c>
      <c r="AG6" s="493" t="n">
        <v>0</v>
      </c>
      <c r="AH6" s="496" t="n"/>
      <c r="AI6" s="497" t="n"/>
      <c r="AJ6" s="498" t="n">
        <v>10</v>
      </c>
      <c r="AK6" s="498" t="n"/>
      <c r="AL6" s="498" t="n"/>
    </row>
    <row r="7" ht="18.75" customHeight="1" s="290">
      <c r="A7" s="490" t="inlineStr">
        <is>
          <t>AS-211</t>
        </is>
      </c>
      <c r="B7" s="490" t="inlineStr">
        <is>
          <t>ComID004</t>
        </is>
      </c>
      <c r="C7" s="491" t="inlineStr">
        <is>
          <t>Calcium</t>
        </is>
      </c>
      <c r="D7" s="491" t="n"/>
      <c r="E7" s="494" t="inlineStr">
        <is>
          <t>Cloribalo unsuc ferasse patozici und nu nu patr parpazzo</t>
        </is>
      </c>
      <c r="F7" s="492" t="inlineStr">
        <is>
          <t>Calcium</t>
        </is>
      </c>
      <c r="G7" s="490" t="inlineStr">
        <is>
          <t>lab</t>
        </is>
      </c>
      <c r="H7" s="494" t="inlineStr">
        <is>
          <t>Metals and Cations</t>
        </is>
      </c>
      <c r="I7" s="499" t="inlineStr">
        <is>
          <t>Chemistry</t>
        </is>
      </c>
      <c r="J7" s="493" t="inlineStr">
        <is>
          <t>Permitted</t>
        </is>
      </c>
      <c r="K7" s="493" t="inlineStr">
        <is>
          <t>mg/L</t>
        </is>
      </c>
      <c r="L7" s="493" t="n">
        <v>2</v>
      </c>
      <c r="M7" s="493" t="n">
        <v>7</v>
      </c>
      <c r="N7" s="495" t="inlineStr">
        <is>
          <t>numeric</t>
        </is>
      </c>
      <c r="O7" s="493" t="n">
        <v>5</v>
      </c>
      <c r="P7" s="493" t="n">
        <v>0</v>
      </c>
      <c r="Q7" s="493" t="n">
        <v>0</v>
      </c>
      <c r="R7" s="495" t="n">
        <v>4</v>
      </c>
      <c r="S7" s="495" t="n">
        <v>3</v>
      </c>
      <c r="T7" s="495" t="n">
        <v>2</v>
      </c>
      <c r="U7" s="493" t="n">
        <v>10</v>
      </c>
      <c r="V7" s="493" t="n">
        <v>8</v>
      </c>
      <c r="W7" s="493" t="n">
        <v>15</v>
      </c>
      <c r="X7" s="492" t="inlineStr">
        <is>
          <t>APHA 1001 Metals</t>
        </is>
      </c>
      <c r="Y7" s="492" t="inlineStr">
        <is>
          <t>Multi purpose Probe</t>
        </is>
      </c>
      <c r="Z7" s="493" t="n">
        <v>5</v>
      </c>
      <c r="AA7" s="493" t="n">
        <v>0</v>
      </c>
      <c r="AB7" s="493" t="n">
        <v>0.05</v>
      </c>
      <c r="AC7" s="493" t="n">
        <v>1000</v>
      </c>
      <c r="AD7" s="495" t="n">
        <v>0.1</v>
      </c>
      <c r="AE7" s="495" t="n">
        <v>900</v>
      </c>
      <c r="AF7" s="490" t="inlineStr">
        <is>
          <t>0</t>
        </is>
      </c>
      <c r="AG7" s="493" t="n">
        <v>0</v>
      </c>
      <c r="AH7" s="496" t="n"/>
      <c r="AI7" s="497" t="n"/>
      <c r="AJ7" s="498" t="n">
        <v>20</v>
      </c>
      <c r="AK7" s="498" t="n"/>
      <c r="AL7" s="498" t="n"/>
    </row>
    <row r="8" ht="18.75" customHeight="1" s="290">
      <c r="A8" s="490" t="inlineStr">
        <is>
          <t>AS-180</t>
        </is>
      </c>
      <c r="B8" s="490" t="inlineStr">
        <is>
          <t>ComID005</t>
        </is>
      </c>
      <c r="C8" s="499" t="inlineStr">
        <is>
          <t>Iron</t>
        </is>
      </c>
      <c r="D8" s="491" t="n"/>
      <c r="E8" s="494" t="inlineStr">
        <is>
          <t>Cloribalo unsuc ferasse patozici und nu nu patr parpazzo</t>
        </is>
      </c>
      <c r="F8" s="492" t="inlineStr">
        <is>
          <t>Fe</t>
        </is>
      </c>
      <c r="G8" s="490" t="inlineStr">
        <is>
          <t>lab</t>
        </is>
      </c>
      <c r="H8" s="494" t="inlineStr">
        <is>
          <t>Metals and Cations</t>
        </is>
      </c>
      <c r="I8" s="499" t="inlineStr">
        <is>
          <t>Chemistry</t>
        </is>
      </c>
      <c r="J8" s="493" t="inlineStr">
        <is>
          <t>Permitted</t>
        </is>
      </c>
      <c r="K8" s="493" t="inlineStr">
        <is>
          <t>mg/L</t>
        </is>
      </c>
      <c r="L8" s="493" t="n">
        <v>2</v>
      </c>
      <c r="M8" s="493" t="n">
        <v>7</v>
      </c>
      <c r="N8" s="495" t="inlineStr">
        <is>
          <t>numeric</t>
        </is>
      </c>
      <c r="O8" s="493" t="n">
        <v>5</v>
      </c>
      <c r="P8" s="493" t="n">
        <v>0</v>
      </c>
      <c r="Q8" s="493" t="n">
        <v>0</v>
      </c>
      <c r="R8" s="495" t="n">
        <v>4</v>
      </c>
      <c r="S8" s="495" t="n">
        <v>3</v>
      </c>
      <c r="T8" s="495" t="n">
        <v>2</v>
      </c>
      <c r="U8" s="493" t="n">
        <v>10</v>
      </c>
      <c r="V8" s="493" t="n">
        <v>8</v>
      </c>
      <c r="W8" s="493" t="n">
        <v>15</v>
      </c>
      <c r="X8" s="492" t="inlineStr">
        <is>
          <t>APHA 1001 Metals</t>
        </is>
      </c>
      <c r="Y8" s="492" t="inlineStr">
        <is>
          <t>Multi purpose Probe</t>
        </is>
      </c>
      <c r="Z8" s="493" t="n">
        <v>5</v>
      </c>
      <c r="AA8" s="493" t="n">
        <v>0</v>
      </c>
      <c r="AB8" s="493" t="n">
        <v>0.05</v>
      </c>
      <c r="AC8" s="493" t="n">
        <v>1000</v>
      </c>
      <c r="AD8" s="495" t="n">
        <v>0.1</v>
      </c>
      <c r="AE8" s="495" t="n">
        <v>900</v>
      </c>
      <c r="AF8" s="490" t="inlineStr">
        <is>
          <t>0</t>
        </is>
      </c>
      <c r="AG8" s="493" t="n">
        <v>0</v>
      </c>
      <c r="AH8" s="496" t="n"/>
      <c r="AI8" s="497" t="n"/>
      <c r="AJ8" s="498" t="n">
        <v>30</v>
      </c>
      <c r="AK8" s="498" t="n"/>
      <c r="AL8" s="498" t="n"/>
    </row>
    <row r="9" ht="18.75" customHeight="1" s="290">
      <c r="A9" s="490" t="inlineStr">
        <is>
          <t>AS-212</t>
        </is>
      </c>
      <c r="B9" s="490" t="inlineStr">
        <is>
          <t>ComID006</t>
        </is>
      </c>
      <c r="C9" s="491" t="inlineStr">
        <is>
          <t>Magnesium</t>
        </is>
      </c>
      <c r="D9" s="491" t="n"/>
      <c r="E9" s="494" t="inlineStr">
        <is>
          <t>Cloribalo unsuc ferasse patozici und nu nu patr parpazzo</t>
        </is>
      </c>
      <c r="F9" s="492" t="inlineStr">
        <is>
          <t>Magnesium</t>
        </is>
      </c>
      <c r="G9" s="490" t="inlineStr">
        <is>
          <t>lab</t>
        </is>
      </c>
      <c r="H9" s="494" t="inlineStr">
        <is>
          <t>Metals and Cations</t>
        </is>
      </c>
      <c r="I9" s="499" t="inlineStr">
        <is>
          <t>Chemistry</t>
        </is>
      </c>
      <c r="J9" s="493" t="inlineStr">
        <is>
          <t>Permitted</t>
        </is>
      </c>
      <c r="K9" s="493" t="inlineStr">
        <is>
          <t>mg/L</t>
        </is>
      </c>
      <c r="L9" s="493" t="n">
        <v>2</v>
      </c>
      <c r="M9" s="493" t="n">
        <v>7</v>
      </c>
      <c r="N9" s="495" t="inlineStr">
        <is>
          <t>numeric</t>
        </is>
      </c>
      <c r="O9" s="493" t="n">
        <v>5</v>
      </c>
      <c r="P9" s="493" t="n">
        <v>0</v>
      </c>
      <c r="Q9" s="493" t="n">
        <v>0</v>
      </c>
      <c r="R9" s="495" t="n">
        <v>4</v>
      </c>
      <c r="S9" s="495" t="n">
        <v>3</v>
      </c>
      <c r="T9" s="495" t="n">
        <v>2</v>
      </c>
      <c r="U9" s="493" t="n">
        <v>10</v>
      </c>
      <c r="V9" s="493" t="n">
        <v>8</v>
      </c>
      <c r="W9" s="493" t="n">
        <v>15</v>
      </c>
      <c r="X9" s="492" t="inlineStr">
        <is>
          <t>APHA 1001 Metals</t>
        </is>
      </c>
      <c r="Y9" s="492" t="inlineStr">
        <is>
          <t>Multi purpose Probe</t>
        </is>
      </c>
      <c r="Z9" s="493" t="n">
        <v>5</v>
      </c>
      <c r="AA9" s="493" t="n">
        <v>0</v>
      </c>
      <c r="AB9" s="493" t="n">
        <v>0.05</v>
      </c>
      <c r="AC9" s="493" t="n">
        <v>1000</v>
      </c>
      <c r="AD9" s="495" t="n">
        <v>0.1</v>
      </c>
      <c r="AE9" s="495" t="n">
        <v>900</v>
      </c>
      <c r="AF9" s="490" t="inlineStr">
        <is>
          <t>0</t>
        </is>
      </c>
      <c r="AG9" s="493" t="n">
        <v>0</v>
      </c>
      <c r="AH9" s="496" t="n"/>
      <c r="AI9" s="497" t="n"/>
      <c r="AJ9" s="498" t="n">
        <v>40</v>
      </c>
      <c r="AK9" s="498" t="n"/>
      <c r="AL9" s="498" t="n"/>
    </row>
    <row r="10" ht="18.75" customHeight="1" s="290">
      <c r="A10" s="490" t="inlineStr">
        <is>
          <t>AS-186</t>
        </is>
      </c>
      <c r="B10" s="490" t="inlineStr">
        <is>
          <t>ComID007</t>
        </is>
      </c>
      <c r="C10" s="499" t="inlineStr">
        <is>
          <t>Manganese</t>
        </is>
      </c>
      <c r="D10" s="491" t="n"/>
      <c r="E10" s="494" t="inlineStr">
        <is>
          <t>Cloribalo unsuc ferasse patozici und nu nu patr parpazzo</t>
        </is>
      </c>
      <c r="F10" s="492" t="inlineStr">
        <is>
          <t>Mn</t>
        </is>
      </c>
      <c r="G10" s="490" t="inlineStr">
        <is>
          <t>lab</t>
        </is>
      </c>
      <c r="H10" s="494" t="inlineStr">
        <is>
          <t>Metals and Cations</t>
        </is>
      </c>
      <c r="I10" s="499" t="inlineStr">
        <is>
          <t>Chemistry</t>
        </is>
      </c>
      <c r="J10" s="493" t="inlineStr">
        <is>
          <t>Permitted</t>
        </is>
      </c>
      <c r="K10" s="493" t="inlineStr">
        <is>
          <t>mg/L</t>
        </is>
      </c>
      <c r="L10" s="493" t="n">
        <v>2</v>
      </c>
      <c r="M10" s="493" t="n">
        <v>7</v>
      </c>
      <c r="N10" s="495" t="inlineStr">
        <is>
          <t>numeric</t>
        </is>
      </c>
      <c r="O10" s="493" t="n">
        <v>5</v>
      </c>
      <c r="P10" s="493" t="n">
        <v>0</v>
      </c>
      <c r="Q10" s="493" t="n">
        <v>0</v>
      </c>
      <c r="R10" s="495" t="n">
        <v>4</v>
      </c>
      <c r="S10" s="495" t="n">
        <v>3</v>
      </c>
      <c r="T10" s="495" t="n">
        <v>2</v>
      </c>
      <c r="U10" s="493" t="n">
        <v>10</v>
      </c>
      <c r="V10" s="493" t="n">
        <v>8</v>
      </c>
      <c r="W10" s="493" t="n">
        <v>15</v>
      </c>
      <c r="X10" s="492" t="inlineStr">
        <is>
          <t>APHA 1001 Metals</t>
        </is>
      </c>
      <c r="Y10" s="492" t="inlineStr">
        <is>
          <t>Multi purpose Probe</t>
        </is>
      </c>
      <c r="Z10" s="493" t="n">
        <v>5</v>
      </c>
      <c r="AA10" s="493" t="n">
        <v>0</v>
      </c>
      <c r="AB10" s="493" t="n">
        <v>0.05</v>
      </c>
      <c r="AC10" s="493" t="n">
        <v>1000</v>
      </c>
      <c r="AD10" s="495" t="n">
        <v>0.1</v>
      </c>
      <c r="AE10" s="495" t="n">
        <v>900</v>
      </c>
      <c r="AF10" s="490" t="inlineStr">
        <is>
          <t>0</t>
        </is>
      </c>
      <c r="AG10" s="493" t="n">
        <v>0</v>
      </c>
      <c r="AH10" s="496" t="n"/>
      <c r="AI10" s="497" t="n"/>
      <c r="AJ10" s="498" t="n">
        <v>50</v>
      </c>
      <c r="AK10" s="498" t="n"/>
      <c r="AL10" s="498" t="n"/>
    </row>
    <row r="11" ht="18.75" customHeight="1" s="290">
      <c r="A11" s="490" t="inlineStr">
        <is>
          <t>AS-209</t>
        </is>
      </c>
      <c r="B11" s="490" t="inlineStr">
        <is>
          <t>ComID008</t>
        </is>
      </c>
      <c r="C11" s="491" t="inlineStr">
        <is>
          <t>Sodium</t>
        </is>
      </c>
      <c r="D11" s="491" t="n"/>
      <c r="E11" s="494" t="inlineStr">
        <is>
          <t>Cloribalo unsuc ferasse patozici und nu nu patr parpazzo</t>
        </is>
      </c>
      <c r="F11" s="492" t="inlineStr">
        <is>
          <t>Sodium</t>
        </is>
      </c>
      <c r="G11" s="490" t="inlineStr">
        <is>
          <t>lab</t>
        </is>
      </c>
      <c r="H11" s="494" t="inlineStr">
        <is>
          <t>Metals and Cations</t>
        </is>
      </c>
      <c r="I11" s="499" t="inlineStr">
        <is>
          <t>Chemistry</t>
        </is>
      </c>
      <c r="J11" s="493" t="inlineStr">
        <is>
          <t>Permitted</t>
        </is>
      </c>
      <c r="K11" s="493" t="inlineStr">
        <is>
          <t>mg/L</t>
        </is>
      </c>
      <c r="L11" s="493" t="n">
        <v>2</v>
      </c>
      <c r="M11" s="493" t="n">
        <v>7</v>
      </c>
      <c r="N11" s="495" t="inlineStr">
        <is>
          <t>numeric</t>
        </is>
      </c>
      <c r="O11" s="493" t="n">
        <v>5</v>
      </c>
      <c r="P11" s="493" t="n">
        <v>0</v>
      </c>
      <c r="Q11" s="493" t="n">
        <v>0</v>
      </c>
      <c r="R11" s="495" t="n">
        <v>4</v>
      </c>
      <c r="S11" s="495" t="n">
        <v>3</v>
      </c>
      <c r="T11" s="495" t="n">
        <v>2</v>
      </c>
      <c r="U11" s="493" t="n">
        <v>10</v>
      </c>
      <c r="V11" s="493" t="n">
        <v>8</v>
      </c>
      <c r="W11" s="493" t="n">
        <v>15</v>
      </c>
      <c r="X11" s="492" t="inlineStr">
        <is>
          <t>APHA 1001 Metals</t>
        </is>
      </c>
      <c r="Y11" s="492" t="inlineStr">
        <is>
          <t>Multi purpose Probe</t>
        </is>
      </c>
      <c r="Z11" s="493" t="n">
        <v>5</v>
      </c>
      <c r="AA11" s="493" t="n">
        <v>0</v>
      </c>
      <c r="AB11" s="493" t="n">
        <v>0.05</v>
      </c>
      <c r="AC11" s="493" t="n">
        <v>1000</v>
      </c>
      <c r="AD11" s="495" t="n">
        <v>0.1</v>
      </c>
      <c r="AE11" s="495" t="n">
        <v>900</v>
      </c>
      <c r="AF11" s="490" t="inlineStr">
        <is>
          <t>0</t>
        </is>
      </c>
      <c r="AG11" s="493" t="n">
        <v>0</v>
      </c>
      <c r="AH11" s="496" t="n"/>
      <c r="AI11" s="497" t="n"/>
      <c r="AJ11" s="498" t="n">
        <v>60</v>
      </c>
      <c r="AK11" s="498" t="n"/>
      <c r="AL11" s="498" t="n"/>
    </row>
    <row r="12" ht="18.75" customHeight="1" s="290">
      <c r="A12" s="500" t="inlineStr">
        <is>
          <t>AS-188</t>
        </is>
      </c>
      <c r="B12" s="500" t="inlineStr">
        <is>
          <t>ComID009</t>
        </is>
      </c>
      <c r="C12" s="501" t="inlineStr">
        <is>
          <t>E.coli Detection</t>
        </is>
      </c>
      <c r="D12" s="502" t="n"/>
      <c r="E12" s="503" t="inlineStr">
        <is>
          <t>Cloribalo unsuc ferasse patozici und nu nu patr parpazzo</t>
        </is>
      </c>
      <c r="F12" s="504" t="inlineStr">
        <is>
          <t>Ecoli</t>
        </is>
      </c>
      <c r="G12" s="500" t="inlineStr">
        <is>
          <t>lab</t>
        </is>
      </c>
      <c r="H12" s="503" t="inlineStr">
        <is>
          <t>Microbiology</t>
        </is>
      </c>
      <c r="I12" s="502" t="inlineStr">
        <is>
          <t>Microbiology</t>
        </is>
      </c>
      <c r="J12" s="505" t="inlineStr">
        <is>
          <t>Permitted</t>
        </is>
      </c>
      <c r="K12" s="506" t="inlineStr">
        <is>
          <t>CFU/100mL</t>
        </is>
      </c>
      <c r="L12" s="505" t="n">
        <v>1</v>
      </c>
      <c r="M12" s="505" t="n">
        <v>7</v>
      </c>
      <c r="N12" s="507" t="inlineStr">
        <is>
          <t>numeric</t>
        </is>
      </c>
      <c r="O12" s="505" t="n">
        <v>5</v>
      </c>
      <c r="P12" s="505" t="n">
        <v>0</v>
      </c>
      <c r="Q12" s="505" t="n">
        <v>0</v>
      </c>
      <c r="R12" s="507" t="n">
        <v>4</v>
      </c>
      <c r="S12" s="507" t="n">
        <v>3</v>
      </c>
      <c r="T12" s="507" t="n">
        <v>2</v>
      </c>
      <c r="U12" s="505" t="n">
        <v>10</v>
      </c>
      <c r="V12" s="505" t="n">
        <v>8</v>
      </c>
      <c r="W12" s="505" t="n">
        <v>15</v>
      </c>
      <c r="X12" s="503" t="inlineStr">
        <is>
          <t>APHA 1003 Microbio</t>
        </is>
      </c>
      <c r="Y12" s="504" t="inlineStr">
        <is>
          <t>Microscope</t>
        </is>
      </c>
      <c r="Z12" s="505" t="n">
        <v>5</v>
      </c>
      <c r="AA12" s="505" t="n">
        <v>0</v>
      </c>
      <c r="AB12" s="505" t="n">
        <v>0</v>
      </c>
      <c r="AC12" s="505" t="n">
        <v>100</v>
      </c>
      <c r="AD12" s="507" t="n">
        <v>0.1</v>
      </c>
      <c r="AE12" s="507" t="n">
        <v>900</v>
      </c>
      <c r="AF12" s="500" t="inlineStr">
        <is>
          <t>0</t>
        </is>
      </c>
      <c r="AG12" s="505" t="n">
        <v>0</v>
      </c>
      <c r="AH12" s="508" t="n"/>
      <c r="AI12" s="509" t="n"/>
      <c r="AJ12" s="510" t="n">
        <v>10</v>
      </c>
      <c r="AK12" s="510" t="n"/>
      <c r="AL12" s="510" t="n"/>
    </row>
    <row r="13" ht="18.75" customHeight="1" s="290">
      <c r="A13" s="500" t="inlineStr">
        <is>
          <t>AS-207</t>
        </is>
      </c>
      <c r="B13" s="500" t="inlineStr">
        <is>
          <t>ComID010</t>
        </is>
      </c>
      <c r="C13" s="501" t="inlineStr">
        <is>
          <t>Heterotrophic Plate Count</t>
        </is>
      </c>
      <c r="D13" s="502" t="n"/>
      <c r="E13" s="503" t="inlineStr">
        <is>
          <t>Cloribalo unsuc ferasse patozici und nu nu patr parpazzo</t>
        </is>
      </c>
      <c r="F13" s="504" t="inlineStr">
        <is>
          <t>HPC</t>
        </is>
      </c>
      <c r="G13" s="500" t="inlineStr">
        <is>
          <t>lab</t>
        </is>
      </c>
      <c r="H13" s="503" t="inlineStr">
        <is>
          <t>Microbiology</t>
        </is>
      </c>
      <c r="I13" s="502" t="inlineStr">
        <is>
          <t>Microbiology</t>
        </is>
      </c>
      <c r="J13" s="505" t="inlineStr">
        <is>
          <t>Permitted</t>
        </is>
      </c>
      <c r="K13" s="506" t="inlineStr">
        <is>
          <t>CFU/100mL</t>
        </is>
      </c>
      <c r="L13" s="505" t="n">
        <v>1</v>
      </c>
      <c r="M13" s="505" t="n">
        <v>7</v>
      </c>
      <c r="N13" s="507" t="inlineStr">
        <is>
          <t>numeric</t>
        </is>
      </c>
      <c r="O13" s="505" t="n">
        <v>5</v>
      </c>
      <c r="P13" s="505" t="n">
        <v>0</v>
      </c>
      <c r="Q13" s="505" t="n">
        <v>0</v>
      </c>
      <c r="R13" s="507" t="n">
        <v>4</v>
      </c>
      <c r="S13" s="507" t="n">
        <v>3</v>
      </c>
      <c r="T13" s="507" t="n">
        <v>2</v>
      </c>
      <c r="U13" s="505" t="n">
        <v>10</v>
      </c>
      <c r="V13" s="505" t="n">
        <v>8</v>
      </c>
      <c r="W13" s="505" t="n">
        <v>15</v>
      </c>
      <c r="X13" s="503" t="inlineStr">
        <is>
          <t>APHA 1003 Microbio</t>
        </is>
      </c>
      <c r="Y13" s="504" t="inlineStr">
        <is>
          <t>Microscope</t>
        </is>
      </c>
      <c r="Z13" s="505" t="n">
        <v>5</v>
      </c>
      <c r="AA13" s="505" t="n">
        <v>0</v>
      </c>
      <c r="AB13" s="505" t="n">
        <v>0</v>
      </c>
      <c r="AC13" s="505" t="n">
        <v>100</v>
      </c>
      <c r="AD13" s="507" t="n">
        <v>0.1</v>
      </c>
      <c r="AE13" s="507" t="n">
        <v>900</v>
      </c>
      <c r="AF13" s="500" t="inlineStr">
        <is>
          <t>0</t>
        </is>
      </c>
      <c r="AG13" s="505" t="n">
        <v>0</v>
      </c>
      <c r="AH13" s="508" t="n"/>
      <c r="AI13" s="509" t="n"/>
      <c r="AJ13" s="510" t="n">
        <v>20</v>
      </c>
      <c r="AK13" s="510" t="n"/>
      <c r="AL13" s="510" t="n"/>
    </row>
    <row r="14" ht="18.75" customHeight="1" s="290">
      <c r="A14" s="500" t="inlineStr">
        <is>
          <t>AS-206</t>
        </is>
      </c>
      <c r="B14" s="500" t="inlineStr">
        <is>
          <t>ComID011</t>
        </is>
      </c>
      <c r="C14" s="501" t="inlineStr">
        <is>
          <t>Total Coliforms</t>
        </is>
      </c>
      <c r="D14" s="502" t="n"/>
      <c r="E14" s="503" t="inlineStr">
        <is>
          <t>Cloribalo unsuc ferasse patozici und nu nu patr parpazzo</t>
        </is>
      </c>
      <c r="F14" s="504" t="inlineStr">
        <is>
          <t>TotalColoforms</t>
        </is>
      </c>
      <c r="G14" s="500" t="inlineStr">
        <is>
          <t>lab</t>
        </is>
      </c>
      <c r="H14" s="503" t="inlineStr">
        <is>
          <t>Microbiology</t>
        </is>
      </c>
      <c r="I14" s="502" t="inlineStr">
        <is>
          <t>Microbiology</t>
        </is>
      </c>
      <c r="J14" s="505" t="inlineStr">
        <is>
          <t>Permitted</t>
        </is>
      </c>
      <c r="K14" s="506" t="inlineStr">
        <is>
          <t>CFU/100mL</t>
        </is>
      </c>
      <c r="L14" s="505" t="n">
        <v>1</v>
      </c>
      <c r="M14" s="505" t="n">
        <v>7</v>
      </c>
      <c r="N14" s="507" t="inlineStr">
        <is>
          <t>numeric</t>
        </is>
      </c>
      <c r="O14" s="505" t="n">
        <v>5</v>
      </c>
      <c r="P14" s="505" t="n">
        <v>0</v>
      </c>
      <c r="Q14" s="505" t="n">
        <v>0</v>
      </c>
      <c r="R14" s="507" t="n">
        <v>4</v>
      </c>
      <c r="S14" s="507" t="n">
        <v>3</v>
      </c>
      <c r="T14" s="507" t="n">
        <v>2</v>
      </c>
      <c r="U14" s="505" t="n">
        <v>10</v>
      </c>
      <c r="V14" s="505" t="n">
        <v>8</v>
      </c>
      <c r="W14" s="505" t="n">
        <v>15</v>
      </c>
      <c r="X14" s="503" t="inlineStr">
        <is>
          <t>APHA 1003 Microbio</t>
        </is>
      </c>
      <c r="Y14" s="504" t="inlineStr">
        <is>
          <t>Microscope</t>
        </is>
      </c>
      <c r="Z14" s="505" t="n">
        <v>5</v>
      </c>
      <c r="AA14" s="505" t="n">
        <v>0</v>
      </c>
      <c r="AB14" s="505" t="n">
        <v>0</v>
      </c>
      <c r="AC14" s="505" t="n">
        <v>100</v>
      </c>
      <c r="AD14" s="507" t="n">
        <v>0.1</v>
      </c>
      <c r="AE14" s="507" t="n">
        <v>900</v>
      </c>
      <c r="AF14" s="500" t="inlineStr">
        <is>
          <t>0</t>
        </is>
      </c>
      <c r="AG14" s="505" t="n">
        <v>0</v>
      </c>
      <c r="AH14" s="508" t="n"/>
      <c r="AI14" s="509" t="n"/>
      <c r="AJ14" s="510" t="n">
        <v>30</v>
      </c>
      <c r="AK14" s="510" t="n"/>
      <c r="AL14" s="510" t="n"/>
    </row>
    <row r="15" ht="18.75" customHeight="1" s="290">
      <c r="A15" s="371" t="inlineStr">
        <is>
          <t>AS-121</t>
        </is>
      </c>
      <c r="B15" s="371" t="inlineStr">
        <is>
          <t>ComID012</t>
        </is>
      </c>
      <c r="C15" s="391" t="inlineStr">
        <is>
          <t>Alkalinity</t>
        </is>
      </c>
      <c r="D15" s="390" t="n"/>
      <c r="E15" s="389" t="inlineStr">
        <is>
          <t>Cloribalo unsuc ferasse patozici und nu nu patr parpazzo</t>
        </is>
      </c>
      <c r="F15" s="359" t="inlineStr">
        <is>
          <t>Alkalinity</t>
        </is>
      </c>
      <c r="G15" s="371" t="inlineStr">
        <is>
          <t>lab</t>
        </is>
      </c>
      <c r="H15" s="389" t="inlineStr">
        <is>
          <t>Physical Properties</t>
        </is>
      </c>
      <c r="I15" s="390" t="inlineStr">
        <is>
          <t>Chemistry</t>
        </is>
      </c>
      <c r="J15" s="360" t="inlineStr">
        <is>
          <t>Permitted</t>
        </is>
      </c>
      <c r="K15" s="511" t="inlineStr">
        <is>
          <t>mg/L</t>
        </is>
      </c>
      <c r="L15" s="360" t="n">
        <v>2</v>
      </c>
      <c r="M15" s="360" t="n">
        <v>7</v>
      </c>
      <c r="N15" s="512" t="inlineStr">
        <is>
          <t>numeric</t>
        </is>
      </c>
      <c r="O15" s="360" t="n">
        <v>5</v>
      </c>
      <c r="P15" s="360" t="n">
        <v>0</v>
      </c>
      <c r="Q15" s="360" t="n">
        <v>0</v>
      </c>
      <c r="R15" s="512" t="n">
        <v>4</v>
      </c>
      <c r="S15" s="512" t="n">
        <v>3</v>
      </c>
      <c r="T15" s="512" t="n">
        <v>2</v>
      </c>
      <c r="U15" s="360" t="n">
        <v>10</v>
      </c>
      <c r="V15" s="360" t="n">
        <v>8</v>
      </c>
      <c r="W15" s="360" t="n">
        <v>15</v>
      </c>
      <c r="X15" s="389" t="inlineStr">
        <is>
          <t>APHA 1004 Titration</t>
        </is>
      </c>
      <c r="Y15" s="359" t="inlineStr">
        <is>
          <t>Titrator</t>
        </is>
      </c>
      <c r="Z15" s="360" t="n">
        <v>5</v>
      </c>
      <c r="AA15" s="360" t="n">
        <v>0</v>
      </c>
      <c r="AB15" s="360" t="n">
        <v>0.05</v>
      </c>
      <c r="AC15" s="360" t="n">
        <v>1000</v>
      </c>
      <c r="AD15" s="512" t="n">
        <v>0.1</v>
      </c>
      <c r="AE15" s="512" t="n">
        <v>900</v>
      </c>
      <c r="AF15" s="371" t="inlineStr">
        <is>
          <t>0</t>
        </is>
      </c>
      <c r="AG15" s="360" t="n">
        <v>0</v>
      </c>
      <c r="AH15" s="513" t="n"/>
      <c r="AI15" s="514" t="n"/>
      <c r="AJ15" s="515" t="n">
        <v>10</v>
      </c>
      <c r="AK15" s="515" t="n"/>
      <c r="AL15" s="515" t="n"/>
    </row>
    <row r="16" ht="18.75" customHeight="1" s="290">
      <c r="A16" s="371" t="inlineStr">
        <is>
          <t>AS-119</t>
        </is>
      </c>
      <c r="B16" s="371" t="inlineStr">
        <is>
          <t>ComID013</t>
        </is>
      </c>
      <c r="C16" s="391" t="inlineStr">
        <is>
          <t>Colour</t>
        </is>
      </c>
      <c r="D16" s="390" t="n"/>
      <c r="E16" s="389" t="inlineStr">
        <is>
          <t>Cloribalo unsuc ferasse patozici und nu nu patr parpazzo</t>
        </is>
      </c>
      <c r="F16" s="359" t="inlineStr">
        <is>
          <t>Colour</t>
        </is>
      </c>
      <c r="G16" s="371" t="inlineStr">
        <is>
          <t>lab</t>
        </is>
      </c>
      <c r="H16" s="389" t="inlineStr">
        <is>
          <t>Physical Properties</t>
        </is>
      </c>
      <c r="I16" s="390" t="inlineStr">
        <is>
          <t>Chemistry</t>
        </is>
      </c>
      <c r="J16" s="360" t="inlineStr">
        <is>
          <t>Permitted</t>
        </is>
      </c>
      <c r="K16" s="511" t="n"/>
      <c r="L16" s="360" t="n">
        <v>2</v>
      </c>
      <c r="M16" s="360" t="n">
        <v>7</v>
      </c>
      <c r="N16" s="512" t="inlineStr">
        <is>
          <t>numeric</t>
        </is>
      </c>
      <c r="O16" s="360" t="n">
        <v>5</v>
      </c>
      <c r="P16" s="360" t="n">
        <v>0</v>
      </c>
      <c r="Q16" s="360" t="n">
        <v>0</v>
      </c>
      <c r="R16" s="512" t="n">
        <v>4</v>
      </c>
      <c r="S16" s="512" t="n">
        <v>3</v>
      </c>
      <c r="T16" s="512" t="n">
        <v>2</v>
      </c>
      <c r="U16" s="360" t="n">
        <v>10</v>
      </c>
      <c r="V16" s="360" t="n">
        <v>8</v>
      </c>
      <c r="W16" s="360" t="n">
        <v>15</v>
      </c>
      <c r="X16" s="389" t="inlineStr">
        <is>
          <t>APHA 1005 Colour</t>
        </is>
      </c>
      <c r="Y16" s="359" t="n"/>
      <c r="Z16" s="360" t="n">
        <v>5</v>
      </c>
      <c r="AA16" s="360" t="n">
        <v>0</v>
      </c>
      <c r="AB16" s="360" t="n">
        <v>0.05</v>
      </c>
      <c r="AC16" s="360" t="n">
        <v>1000</v>
      </c>
      <c r="AD16" s="512" t="n">
        <v>0.1</v>
      </c>
      <c r="AE16" s="512" t="n">
        <v>900</v>
      </c>
      <c r="AF16" s="371" t="inlineStr">
        <is>
          <t>0</t>
        </is>
      </c>
      <c r="AG16" s="360" t="n">
        <v>0</v>
      </c>
      <c r="AH16" s="513" t="n"/>
      <c r="AI16" s="514" t="n"/>
      <c r="AJ16" s="515" t="n">
        <v>20</v>
      </c>
      <c r="AK16" s="515" t="n"/>
      <c r="AL16" s="515" t="n"/>
    </row>
    <row r="17" ht="18.75" customHeight="1" s="290">
      <c r="A17" s="371" t="inlineStr">
        <is>
          <t>AS-013</t>
        </is>
      </c>
      <c r="B17" s="371" t="inlineStr">
        <is>
          <t>ComID014</t>
        </is>
      </c>
      <c r="C17" s="390" t="inlineStr">
        <is>
          <t>Conductivity</t>
        </is>
      </c>
      <c r="D17" s="390" t="n"/>
      <c r="E17" s="359" t="inlineStr">
        <is>
          <t>Cloribalo unsuc ferasse patozici und nu nu patr parpazzo</t>
        </is>
      </c>
      <c r="F17" s="359" t="inlineStr">
        <is>
          <t>EC</t>
        </is>
      </c>
      <c r="G17" s="360" t="inlineStr">
        <is>
          <t>lab</t>
        </is>
      </c>
      <c r="H17" s="389" t="inlineStr">
        <is>
          <t>Physical Properties</t>
        </is>
      </c>
      <c r="I17" s="390" t="inlineStr">
        <is>
          <t>Chemistry</t>
        </is>
      </c>
      <c r="J17" s="360" t="inlineStr">
        <is>
          <t>Permitted</t>
        </is>
      </c>
      <c r="K17" s="511" t="inlineStr">
        <is>
          <t>microS/cm</t>
        </is>
      </c>
      <c r="L17" s="360" t="n">
        <v>2</v>
      </c>
      <c r="M17" s="360" t="n">
        <v>7</v>
      </c>
      <c r="N17" s="512" t="inlineStr">
        <is>
          <t>numeric</t>
        </is>
      </c>
      <c r="O17" s="360" t="n">
        <v>5</v>
      </c>
      <c r="P17" s="360" t="n">
        <v>0</v>
      </c>
      <c r="Q17" s="360" t="n">
        <v>0</v>
      </c>
      <c r="R17" s="512" t="n">
        <v>4</v>
      </c>
      <c r="S17" s="512" t="n">
        <v>3</v>
      </c>
      <c r="T17" s="512" t="n">
        <v>2</v>
      </c>
      <c r="U17" s="360" t="n">
        <v>10</v>
      </c>
      <c r="V17" s="360" t="n">
        <v>8</v>
      </c>
      <c r="W17" s="360" t="n">
        <v>15</v>
      </c>
      <c r="X17" s="359" t="inlineStr">
        <is>
          <t>APHA 1006 Conductivity</t>
        </is>
      </c>
      <c r="Y17" s="359" t="inlineStr">
        <is>
          <t>Multi purpose Probe</t>
        </is>
      </c>
      <c r="Z17" s="360" t="n">
        <v>5</v>
      </c>
      <c r="AA17" s="360" t="n">
        <v>0</v>
      </c>
      <c r="AB17" s="360" t="n">
        <v>0.05</v>
      </c>
      <c r="AC17" s="360" t="n">
        <v>1000</v>
      </c>
      <c r="AD17" s="512" t="n">
        <v>0.1</v>
      </c>
      <c r="AE17" s="512" t="n">
        <v>900</v>
      </c>
      <c r="AF17" s="371" t="inlineStr">
        <is>
          <t>0</t>
        </is>
      </c>
      <c r="AG17" s="360" t="n">
        <v>0</v>
      </c>
      <c r="AH17" s="513" t="n"/>
      <c r="AI17" s="514" t="n"/>
      <c r="AJ17" s="515" t="n">
        <v>30</v>
      </c>
      <c r="AK17" s="515" t="n"/>
      <c r="AL17" s="515" t="n"/>
    </row>
    <row r="18" ht="18.75" customHeight="1" s="290">
      <c r="A18" s="371" t="inlineStr">
        <is>
          <t>AS-009</t>
        </is>
      </c>
      <c r="B18" s="371" t="inlineStr">
        <is>
          <t>ComID015</t>
        </is>
      </c>
      <c r="C18" s="390" t="inlineStr">
        <is>
          <t>pH</t>
        </is>
      </c>
      <c r="D18" s="390" t="n"/>
      <c r="E18" s="359" t="inlineStr">
        <is>
          <t>Cloribalo unsuc ferasse patozici und nu nu patr parpazzo</t>
        </is>
      </c>
      <c r="F18" s="359" t="inlineStr">
        <is>
          <t>pH</t>
        </is>
      </c>
      <c r="G18" s="360" t="inlineStr">
        <is>
          <t>lab</t>
        </is>
      </c>
      <c r="H18" s="389" t="inlineStr">
        <is>
          <t>Physical Properties</t>
        </is>
      </c>
      <c r="I18" s="390" t="inlineStr">
        <is>
          <t>Chemistry</t>
        </is>
      </c>
      <c r="J18" s="360" t="inlineStr">
        <is>
          <t>Permitted</t>
        </is>
      </c>
      <c r="K18" s="511" t="n"/>
      <c r="L18" s="360" t="n">
        <v>1</v>
      </c>
      <c r="M18" s="360" t="n">
        <v>7</v>
      </c>
      <c r="N18" s="512" t="inlineStr">
        <is>
          <t>numeric</t>
        </is>
      </c>
      <c r="O18" s="360" t="n">
        <v>5</v>
      </c>
      <c r="P18" s="360" t="n">
        <v>0</v>
      </c>
      <c r="Q18" s="360" t="n">
        <v>0</v>
      </c>
      <c r="R18" s="512" t="n">
        <v>4</v>
      </c>
      <c r="S18" s="512" t="n">
        <v>3</v>
      </c>
      <c r="T18" s="512" t="n">
        <v>2</v>
      </c>
      <c r="U18" s="360" t="n">
        <v>10</v>
      </c>
      <c r="V18" s="360" t="n">
        <v>8</v>
      </c>
      <c r="W18" s="360" t="n">
        <v>15</v>
      </c>
      <c r="X18" s="359" t="inlineStr">
        <is>
          <t>APHA 1007 pH</t>
        </is>
      </c>
      <c r="Y18" s="359" t="inlineStr">
        <is>
          <t>Multi purpose Probe</t>
        </is>
      </c>
      <c r="Z18" s="360" t="n">
        <v>5</v>
      </c>
      <c r="AA18" s="360" t="n">
        <v>0</v>
      </c>
      <c r="AB18" s="360" t="n">
        <v>4</v>
      </c>
      <c r="AC18" s="360" t="n">
        <v>11</v>
      </c>
      <c r="AD18" s="512" t="n">
        <v>0.1</v>
      </c>
      <c r="AE18" s="512" t="n">
        <v>900</v>
      </c>
      <c r="AF18" s="371" t="inlineStr">
        <is>
          <t>0</t>
        </is>
      </c>
      <c r="AG18" s="360" t="n">
        <v>0</v>
      </c>
      <c r="AH18" s="513" t="n"/>
      <c r="AI18" s="514" t="n"/>
      <c r="AJ18" s="515" t="n">
        <v>40</v>
      </c>
      <c r="AK18" s="515" t="n"/>
      <c r="AL18" s="515" t="n"/>
    </row>
    <row r="19" ht="18.75" customHeight="1" s="290">
      <c r="A19" s="371" t="inlineStr">
        <is>
          <t>AS-208</t>
        </is>
      </c>
      <c r="B19" s="371" t="inlineStr">
        <is>
          <t>ComID016</t>
        </is>
      </c>
      <c r="C19" s="391" t="inlineStr">
        <is>
          <t>Sulphate</t>
        </is>
      </c>
      <c r="D19" s="390" t="n"/>
      <c r="E19" s="389" t="inlineStr">
        <is>
          <t>Cloribalo unsuc ferasse patozici und nu nu patr parpazzo</t>
        </is>
      </c>
      <c r="F19" s="359" t="inlineStr">
        <is>
          <t>Sulphate</t>
        </is>
      </c>
      <c r="G19" s="371" t="inlineStr">
        <is>
          <t>lab</t>
        </is>
      </c>
      <c r="H19" s="389" t="inlineStr">
        <is>
          <t>Physical Properties</t>
        </is>
      </c>
      <c r="I19" s="391" t="inlineStr">
        <is>
          <t>Chemistry</t>
        </is>
      </c>
      <c r="J19" s="360" t="inlineStr">
        <is>
          <t>Permitted</t>
        </is>
      </c>
      <c r="K19" s="511" t="inlineStr">
        <is>
          <t>mg/L</t>
        </is>
      </c>
      <c r="L19" s="360" t="n">
        <v>2</v>
      </c>
      <c r="M19" s="360" t="n">
        <v>7</v>
      </c>
      <c r="N19" s="512" t="inlineStr">
        <is>
          <t>numeric</t>
        </is>
      </c>
      <c r="O19" s="360" t="n">
        <v>5</v>
      </c>
      <c r="P19" s="360" t="n">
        <v>0</v>
      </c>
      <c r="Q19" s="360" t="n">
        <v>0</v>
      </c>
      <c r="R19" s="512" t="n">
        <v>4</v>
      </c>
      <c r="S19" s="512" t="n">
        <v>3</v>
      </c>
      <c r="T19" s="512" t="n">
        <v>2</v>
      </c>
      <c r="U19" s="360" t="n">
        <v>10</v>
      </c>
      <c r="V19" s="360" t="n">
        <v>8</v>
      </c>
      <c r="W19" s="360" t="n">
        <v>15</v>
      </c>
      <c r="X19" s="389" t="inlineStr">
        <is>
          <t>APHA 1008 Sulphate</t>
        </is>
      </c>
      <c r="Y19" s="359" t="inlineStr">
        <is>
          <t>Multi purpose Probe</t>
        </is>
      </c>
      <c r="Z19" s="360" t="n">
        <v>5</v>
      </c>
      <c r="AA19" s="360" t="n">
        <v>0</v>
      </c>
      <c r="AB19" s="360" t="n">
        <v>0.05</v>
      </c>
      <c r="AC19" s="360" t="n">
        <v>1000</v>
      </c>
      <c r="AD19" s="512" t="n">
        <v>0.1</v>
      </c>
      <c r="AE19" s="512" t="n">
        <v>900</v>
      </c>
      <c r="AF19" s="371" t="inlineStr">
        <is>
          <t>0</t>
        </is>
      </c>
      <c r="AG19" s="360" t="n">
        <v>0</v>
      </c>
      <c r="AH19" s="513" t="n"/>
      <c r="AI19" s="514" t="n"/>
      <c r="AJ19" s="515" t="n">
        <v>50</v>
      </c>
      <c r="AK19" s="515" t="n"/>
      <c r="AL19" s="515" t="n"/>
    </row>
    <row r="20" ht="18.75" customHeight="1" s="290">
      <c r="A20" s="371" t="inlineStr">
        <is>
          <t>AS-118</t>
        </is>
      </c>
      <c r="B20" s="371" t="inlineStr">
        <is>
          <t>ComID017</t>
        </is>
      </c>
      <c r="C20" s="390" t="inlineStr">
        <is>
          <t>Temperature</t>
        </is>
      </c>
      <c r="D20" s="390" t="n"/>
      <c r="E20" s="359" t="inlineStr">
        <is>
          <t>Cloribalo unsuc ferasse patozici und nu nu patr parpazzo</t>
        </is>
      </c>
      <c r="F20" s="359" t="inlineStr">
        <is>
          <t>Temp</t>
        </is>
      </c>
      <c r="G20" s="360" t="inlineStr">
        <is>
          <t>field</t>
        </is>
      </c>
      <c r="H20" s="389" t="inlineStr">
        <is>
          <t>Physical Properties</t>
        </is>
      </c>
      <c r="I20" s="390" t="inlineStr">
        <is>
          <t>Chemistry</t>
        </is>
      </c>
      <c r="J20" s="360" t="inlineStr">
        <is>
          <t>Permitted</t>
        </is>
      </c>
      <c r="K20" s="511" t="inlineStr">
        <is>
          <t>°C</t>
        </is>
      </c>
      <c r="L20" s="360" t="n">
        <v>2</v>
      </c>
      <c r="M20" s="360" t="n">
        <v>7</v>
      </c>
      <c r="N20" s="512" t="inlineStr">
        <is>
          <t>numeric</t>
        </is>
      </c>
      <c r="O20" s="360" t="n">
        <v>5</v>
      </c>
      <c r="P20" s="360" t="n">
        <v>0</v>
      </c>
      <c r="Q20" s="360" t="n">
        <v>0</v>
      </c>
      <c r="R20" s="512" t="n">
        <v>4</v>
      </c>
      <c r="S20" s="512" t="n">
        <v>3</v>
      </c>
      <c r="T20" s="512" t="n">
        <v>2</v>
      </c>
      <c r="U20" s="360" t="n">
        <v>10</v>
      </c>
      <c r="V20" s="360" t="n">
        <v>8</v>
      </c>
      <c r="W20" s="360" t="n">
        <v>15</v>
      </c>
      <c r="X20" s="359" t="inlineStr">
        <is>
          <t>APHA 1009 Temp</t>
        </is>
      </c>
      <c r="Y20" s="359" t="inlineStr">
        <is>
          <t>Thermometer</t>
        </is>
      </c>
      <c r="Z20" s="360" t="n">
        <v>5</v>
      </c>
      <c r="AA20" s="360" t="n">
        <v>0</v>
      </c>
      <c r="AB20" s="360" t="n">
        <v>0.05</v>
      </c>
      <c r="AC20" s="360" t="n">
        <v>1000</v>
      </c>
      <c r="AD20" s="512" t="n">
        <v>0.1</v>
      </c>
      <c r="AE20" s="512" t="n">
        <v>900</v>
      </c>
      <c r="AF20" s="371" t="inlineStr">
        <is>
          <t>0</t>
        </is>
      </c>
      <c r="AG20" s="360" t="n">
        <v>0</v>
      </c>
      <c r="AH20" s="513" t="n"/>
      <c r="AI20" s="514" t="n"/>
      <c r="AJ20" s="515" t="n">
        <v>60</v>
      </c>
      <c r="AK20" s="515" t="n"/>
      <c r="AL20" s="515" t="n"/>
    </row>
    <row r="21" ht="18.75" customHeight="1" s="290">
      <c r="A21" s="371" t="inlineStr">
        <is>
          <t>AS-213</t>
        </is>
      </c>
      <c r="B21" s="371" t="inlineStr">
        <is>
          <t>ComID018</t>
        </is>
      </c>
      <c r="C21" s="390" t="inlineStr">
        <is>
          <t>Total Dissolved Salts</t>
        </is>
      </c>
      <c r="D21" s="390" t="n"/>
      <c r="E21" s="389" t="inlineStr">
        <is>
          <t>Cloribalo unsuc ferasse patozici und nu nu patr parpazzo</t>
        </is>
      </c>
      <c r="F21" s="359" t="inlineStr">
        <is>
          <t>TDS</t>
        </is>
      </c>
      <c r="G21" s="371" t="inlineStr">
        <is>
          <t>lab</t>
        </is>
      </c>
      <c r="H21" s="389" t="inlineStr">
        <is>
          <t>Physical Properties</t>
        </is>
      </c>
      <c r="I21" s="391" t="inlineStr">
        <is>
          <t>Chemistry</t>
        </is>
      </c>
      <c r="J21" s="360" t="inlineStr">
        <is>
          <t>Permitted</t>
        </is>
      </c>
      <c r="K21" s="511" t="inlineStr">
        <is>
          <t>mg/L</t>
        </is>
      </c>
      <c r="L21" s="360" t="n">
        <v>2</v>
      </c>
      <c r="M21" s="360" t="n">
        <v>7</v>
      </c>
      <c r="N21" s="512" t="inlineStr">
        <is>
          <t>numeric</t>
        </is>
      </c>
      <c r="O21" s="360" t="n">
        <v>5</v>
      </c>
      <c r="P21" s="360" t="n">
        <v>0</v>
      </c>
      <c r="Q21" s="360" t="n">
        <v>0</v>
      </c>
      <c r="R21" s="512" t="n">
        <v>4</v>
      </c>
      <c r="S21" s="512" t="n">
        <v>3</v>
      </c>
      <c r="T21" s="512" t="n">
        <v>2</v>
      </c>
      <c r="U21" s="360" t="n">
        <v>10</v>
      </c>
      <c r="V21" s="360" t="n">
        <v>8</v>
      </c>
      <c r="W21" s="360" t="n">
        <v>15</v>
      </c>
      <c r="X21" s="389" t="inlineStr">
        <is>
          <t>APHA 1010 Filtration</t>
        </is>
      </c>
      <c r="Y21" s="359" t="n"/>
      <c r="Z21" s="360" t="n">
        <v>5</v>
      </c>
      <c r="AA21" s="360" t="n">
        <v>0</v>
      </c>
      <c r="AB21" s="360" t="n">
        <v>0.05</v>
      </c>
      <c r="AC21" s="360" t="n">
        <v>1000</v>
      </c>
      <c r="AD21" s="512" t="n">
        <v>0.1</v>
      </c>
      <c r="AE21" s="512" t="n">
        <v>900</v>
      </c>
      <c r="AF21" s="371" t="inlineStr">
        <is>
          <t>0</t>
        </is>
      </c>
      <c r="AG21" s="360" t="n">
        <v>0</v>
      </c>
      <c r="AH21" s="513" t="n"/>
      <c r="AI21" s="514" t="n"/>
      <c r="AJ21" s="515" t="n">
        <v>70</v>
      </c>
      <c r="AK21" s="515" t="n"/>
      <c r="AL21" s="515" t="n"/>
    </row>
    <row r="22" ht="18.75" customHeight="1" s="290">
      <c r="A22" s="371" t="inlineStr">
        <is>
          <t>AS-011</t>
        </is>
      </c>
      <c r="B22" s="371" t="inlineStr">
        <is>
          <t>ComID019</t>
        </is>
      </c>
      <c r="C22" s="390" t="inlineStr">
        <is>
          <t>Turbidity</t>
        </is>
      </c>
      <c r="D22" s="390" t="n"/>
      <c r="E22" s="359" t="inlineStr">
        <is>
          <t>Cloribalo unsuc ferasse patozici und nu nu patr parpazzo</t>
        </is>
      </c>
      <c r="F22" s="359" t="inlineStr">
        <is>
          <t>Turbidity</t>
        </is>
      </c>
      <c r="G22" s="360" t="inlineStr">
        <is>
          <t>lab</t>
        </is>
      </c>
      <c r="H22" s="389" t="inlineStr">
        <is>
          <t>Physical Properties</t>
        </is>
      </c>
      <c r="I22" s="390" t="inlineStr">
        <is>
          <t>Chemistry</t>
        </is>
      </c>
      <c r="J22" s="360" t="inlineStr">
        <is>
          <t>Permitted</t>
        </is>
      </c>
      <c r="K22" s="511" t="inlineStr">
        <is>
          <t>NTU</t>
        </is>
      </c>
      <c r="L22" s="360" t="n">
        <v>2</v>
      </c>
      <c r="M22" s="360" t="n">
        <v>7</v>
      </c>
      <c r="N22" s="512" t="inlineStr">
        <is>
          <t>numeric</t>
        </is>
      </c>
      <c r="O22" s="360" t="n">
        <v>5</v>
      </c>
      <c r="P22" s="360" t="n">
        <v>0</v>
      </c>
      <c r="Q22" s="360" t="n">
        <v>0</v>
      </c>
      <c r="R22" s="512" t="n">
        <v>4</v>
      </c>
      <c r="S22" s="512" t="n">
        <v>3</v>
      </c>
      <c r="T22" s="512" t="n">
        <v>2</v>
      </c>
      <c r="U22" s="360" t="n">
        <v>10</v>
      </c>
      <c r="V22" s="360" t="n">
        <v>8</v>
      </c>
      <c r="W22" s="360" t="n">
        <v>15</v>
      </c>
      <c r="X22" s="359" t="inlineStr">
        <is>
          <t>APHA 1004 Titration</t>
        </is>
      </c>
      <c r="Y22" s="359" t="inlineStr">
        <is>
          <t>Titrator</t>
        </is>
      </c>
      <c r="Z22" s="360" t="n">
        <v>5</v>
      </c>
      <c r="AA22" s="360" t="n">
        <v>0</v>
      </c>
      <c r="AB22" s="360" t="n">
        <v>0.05</v>
      </c>
      <c r="AC22" s="360" t="n">
        <v>1000</v>
      </c>
      <c r="AD22" s="512" t="n">
        <v>0.1</v>
      </c>
      <c r="AE22" s="512" t="n">
        <v>900</v>
      </c>
      <c r="AF22" s="371" t="inlineStr">
        <is>
          <t>0</t>
        </is>
      </c>
      <c r="AG22" s="360" t="n">
        <v>0</v>
      </c>
      <c r="AH22" s="513" t="n"/>
      <c r="AI22" s="514" t="n"/>
      <c r="AJ22" s="515" t="n">
        <v>80</v>
      </c>
      <c r="AK22" s="515" t="n"/>
      <c r="AL22" s="515" t="n"/>
    </row>
  </sheetData>
  <mergeCells count="7">
    <mergeCell ref="U2:W2"/>
    <mergeCell ref="AG2:AI2"/>
    <mergeCell ref="K2:M2"/>
    <mergeCell ref="R2:T2"/>
    <mergeCell ref="AB2:AF2"/>
    <mergeCell ref="X2:AA2"/>
    <mergeCell ref="O2:Q2"/>
  </mergeCells>
  <conditionalFormatting sqref="T4:T22">
    <cfRule type="expression" rank="0" priority="2" equalAverage="0" aboveAverage="0" dxfId="0" text="" percent="0" bottom="0">
      <formula>NOT(COUNTIF(INDIRECT("Methods!"&amp;"B$4:B"),T4)&gt;0)*NOT(ISBLANK(T4))</formula>
    </cfRule>
  </conditionalFormatting>
  <conditionalFormatting sqref="H4:H22">
    <cfRule type="expression" rank="0" priority="3" equalAverage="0" aboveAverage="0" dxfId="0" text="" percent="0" bottom="0">
      <formula>NOT(COUNTIF(INDIRECT("Analysis Categories!"&amp;"A$4:A"),H4)&gt;0)*NOT(ISBLANK(H4))</formula>
    </cfRule>
  </conditionalFormatting>
  <conditionalFormatting sqref="U4:U22">
    <cfRule type="expression" rank="0" priority="4" equalAverage="0" aboveAverage="0" dxfId="0" text="" percent="0" bottom="0">
      <formula>NOT(COUNTIF(INDIRECT("Instruments!"&amp;"B$4:B"),U4)&gt;0)*NOT(ISBLANK(U4))</formula>
    </cfRule>
  </conditionalFormatting>
  <conditionalFormatting sqref="AC4:AC22">
    <cfRule type="expression" rank="0" priority="5" equalAverage="0" aboveAverage="0" dxfId="0" text="" percent="0" bottom="0">
      <formula>NOT(COUNTIF(INDIRECT("Preservations!"&amp;"A$4:A"),AC4)&gt;0)*NOT(ISBLANK(AC4))</formula>
    </cfRule>
  </conditionalFormatting>
  <conditionalFormatting sqref="AB4:AB22">
    <cfRule type="expression" rank="0" priority="6" equalAverage="0" aboveAverage="0" dxfId="0" text="" percent="0" bottom="0">
      <formula>NOT(COUNTIF(INDIRECT("Containers!"&amp;"A$4:A"),AB4)&gt;0)*NOT(ISBLANK(AB4))</formula>
    </cfRule>
  </conditionalFormatting>
  <dataValidations count="14">
    <dataValidation sqref="G4:G22" showDropDown="0" showInputMessage="0" showErrorMessage="0" allowBlank="0" type="list">
      <formula1>"field,lab"</formula1>
    </dataValidation>
    <dataValidation sqref="H4:H22" showDropDown="0" showInputMessage="0" showErrorMessage="0" allowBlank="0" type="list">
      <formula1>'Analysis Categories'!$A$4:$A22</formula1>
    </dataValidation>
    <dataValidation sqref="I4:I22" showDropDown="0" showInputMessage="0" showErrorMessage="0" allowBlank="0" type="list">
      <formula1>'Lab Departments'!$A$4:$A22</formula1>
    </dataValidation>
    <dataValidation sqref="K4:K22" showDropDown="0" showInputMessage="0" showErrorMessage="0" allowBlank="0" type="list">
      <formula1>Units!$A$4:$A22</formula1>
    </dataValidation>
    <dataValidation sqref="L4:M22" showDropDown="0" showInputMessage="0" showErrorMessage="0" allowBlank="0" type="list">
      <formula1>"1,2,3,4,5,6,7,8,9"</formula1>
    </dataValidation>
    <dataValidation sqref="N4:N22" showDropDown="0" showInputMessage="0" showErrorMessage="0" allowBlank="0" type="list">
      <formula1>"numeric,string,select,multiselect"</formula1>
    </dataValidation>
    <dataValidation sqref="O4:W22" showDropDown="0" showInputMessage="0" showErrorMessage="0" allowBlank="0" type="decimal">
      <formula1>0</formula1>
    </dataValidation>
    <dataValidation sqref="X4:X22" showDropDown="0" showInputMessage="0" showErrorMessage="0" allowBlank="0" type="list">
      <formula1>Methods!$B$4:$B22</formula1>
    </dataValidation>
    <dataValidation sqref="Y4:Y22" showDropDown="0" showInputMessage="0" showErrorMessage="0" allowBlank="0" type="list">
      <formula1>Instruments!$B$4:$B22</formula1>
    </dataValidation>
    <dataValidation sqref="AA4:AA22 AG4:AG22" showDropDown="0" showInputMessage="0" showErrorMessage="0" allowBlank="0" type="list">
      <formula1>"0,1"</formula1>
    </dataValidation>
    <dataValidation sqref="AB4:AE22" showDropDown="0" showInputMessage="0" showErrorMessage="0" allowBlank="0" type="decimal">
      <formula1>-99999999</formula1>
    </dataValidation>
    <dataValidation sqref="AF4:AF22" showDropDown="0" showInputMessage="0" showErrorMessage="0" allowBlank="0" type="list">
      <formula1>"0,1"</formula1>
    </dataValidation>
    <dataValidation sqref="AH4:AH22" showDropDown="0" showInputMessage="0" showErrorMessage="0" allowBlank="0" type="list">
      <formula1>Containers!$A$4:$A22</formula1>
    </dataValidation>
    <dataValidation sqref="AI4:AI22" showDropDown="0" showInputMessage="0" showErrorMessage="0" allowBlank="0" type="list">
      <formula1>Preservations!$A$4:$A22</formula1>
    </dataValidation>
  </dataValidations>
  <printOptions horizontalCentered="1" verticalCentered="0" headings="0" gridLines="1" gridLinesSet="1"/>
  <pageMargins left="0.25" right="0.25" top="0.75" bottom="0.75" header="0.511811023622047" footer="0.511811023622047"/>
  <pageSetup orientation="landscape" paperSize="1" scale="100" fitToHeight="0" fitToWidth="1" pageOrder="overThenDown"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C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17.76" customWidth="1" style="289" min="1" max="1"/>
    <col width="25.95" customWidth="1" style="289" min="2" max="2"/>
    <col width="16.63" customWidth="1" style="289" min="3" max="3"/>
    <col width="12.72" customWidth="1" style="289" min="4" max="1024"/>
  </cols>
  <sheetData>
    <row r="1" hidden="1" ht="19.5" customHeight="1" s="290">
      <c r="A1" s="362" t="inlineStr">
        <is>
          <t>Service_title</t>
        </is>
      </c>
      <c r="B1" s="303" t="inlineStr">
        <is>
          <t>Method_title</t>
        </is>
      </c>
      <c r="C1" s="303" t="n"/>
    </row>
    <row r="2" ht="34.5" customHeight="1" s="290">
      <c r="A2" s="325" t="inlineStr">
        <is>
          <t>Analysis Services – Methods</t>
        </is>
      </c>
      <c r="B2" s="326" t="n"/>
      <c r="C2" s="329" t="n"/>
    </row>
    <row r="3" ht="24" customHeight="1" s="290">
      <c r="A3" s="356" t="inlineStr">
        <is>
          <t>Service title</t>
        </is>
      </c>
      <c r="B3" s="356" t="inlineStr">
        <is>
          <t>Method title</t>
        </is>
      </c>
      <c r="C3" s="356" t="n"/>
    </row>
    <row r="4" ht="21" customHeight="1" s="290">
      <c r="A4" s="516" t="inlineStr">
        <is>
          <t>Chloride</t>
        </is>
      </c>
      <c r="B4" s="516" t="inlineStr">
        <is>
          <t>APHA 1004 Titration</t>
        </is>
      </c>
      <c r="C4" s="516" t="n"/>
    </row>
    <row r="5" ht="21" customHeight="1" s="290">
      <c r="A5" s="296" t="inlineStr">
        <is>
          <t>Free Chlorine</t>
        </is>
      </c>
      <c r="B5" s="296" t="inlineStr">
        <is>
          <t>APHA 1004 Titration</t>
        </is>
      </c>
      <c r="C5" s="296" t="n"/>
    </row>
    <row r="6" ht="21" customHeight="1" s="290">
      <c r="A6" s="296" t="inlineStr">
        <is>
          <t>Conductivity</t>
        </is>
      </c>
      <c r="B6" s="296" t="inlineStr">
        <is>
          <t>APHA 1004 Titration</t>
        </is>
      </c>
      <c r="C6" s="296" t="n"/>
    </row>
    <row r="7" ht="21" customHeight="1" s="290">
      <c r="A7" s="296" t="inlineStr">
        <is>
          <t>pH</t>
        </is>
      </c>
      <c r="B7" s="296" t="inlineStr">
        <is>
          <t>APHA 1004 Titration</t>
        </is>
      </c>
      <c r="C7" s="296" t="n"/>
    </row>
    <row r="8" ht="21" customHeight="1" s="290">
      <c r="A8" s="296" t="inlineStr">
        <is>
          <t>Sulphate</t>
        </is>
      </c>
      <c r="B8" s="296" t="inlineStr">
        <is>
          <t>APHA 1004 Titration</t>
        </is>
      </c>
      <c r="C8" s="296" t="n"/>
    </row>
  </sheetData>
  <conditionalFormatting sqref="A1:C1">
    <cfRule type="expression" rank="0" priority="2" equalAverage="0" aboveAverage="0" dxfId="0" text="" percent="0" bottom="0">
      <formula>LEN(TRIM(A1))=0</formula>
    </cfRule>
  </conditionalFormatting>
  <dataValidations count="2">
    <dataValidation sqref="A4:A8" showDropDown="0" showInputMessage="0" showErrorMessage="0" allowBlank="1" type="list" errorStyle="stop" operator="equal">
      <formula1>'Analysis Services'!$C$4:$C8</formula1>
      <formula2>0</formula2>
    </dataValidation>
    <dataValidation sqref="B4:B8" showDropDown="0" showInputMessage="0" showErrorMessage="0" allowBlank="1" type="list" errorStyle="stop" operator="equal">
      <formula1>Methods!$B$4:$B8</formula1>
      <formula2>0</formula2>
    </dataValidation>
  </dataValidation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C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15.87" customWidth="1" style="289" min="1" max="1"/>
    <col width="24.44" customWidth="1" style="289" min="2" max="2"/>
    <col width="12.72" customWidth="1" style="289" min="3" max="1024"/>
  </cols>
  <sheetData>
    <row r="1" hidden="1" ht="19.5" customHeight="1" s="290">
      <c r="A1" s="362" t="inlineStr">
        <is>
          <t>Service_title</t>
        </is>
      </c>
      <c r="B1" s="303" t="inlineStr">
        <is>
          <t>Instrument_title</t>
        </is>
      </c>
      <c r="C1" s="303" t="n"/>
    </row>
    <row r="2" ht="34.5" customHeight="1" s="290">
      <c r="A2" s="325" t="inlineStr">
        <is>
          <t>Analysis Services – Instruments</t>
        </is>
      </c>
      <c r="B2" s="326" t="n"/>
      <c r="C2" s="329" t="n"/>
    </row>
    <row r="3" ht="24" customHeight="1" s="290">
      <c r="A3" s="356" t="inlineStr">
        <is>
          <t>Service title</t>
        </is>
      </c>
      <c r="B3" s="356" t="inlineStr">
        <is>
          <t>Instrument title</t>
        </is>
      </c>
      <c r="C3" s="356" t="n"/>
    </row>
    <row r="4" ht="24" customHeight="1" s="290">
      <c r="A4" s="359" t="inlineStr">
        <is>
          <t>Chloride</t>
        </is>
      </c>
      <c r="B4" s="359" t="inlineStr">
        <is>
          <t>Titrator</t>
        </is>
      </c>
      <c r="C4" s="360" t="n"/>
    </row>
    <row r="5" ht="24" customHeight="1" s="290">
      <c r="A5" s="359" t="inlineStr">
        <is>
          <t>Free Chlorine</t>
        </is>
      </c>
      <c r="B5" s="359" t="inlineStr">
        <is>
          <t>Titrator</t>
        </is>
      </c>
      <c r="C5" s="360" t="n"/>
    </row>
    <row r="6" ht="24" customHeight="1" s="290">
      <c r="A6" s="359" t="inlineStr">
        <is>
          <t>Conductivity</t>
        </is>
      </c>
      <c r="B6" s="359" t="inlineStr">
        <is>
          <t>Titrator</t>
        </is>
      </c>
      <c r="C6" s="360" t="n"/>
    </row>
    <row r="7" ht="24" customHeight="1" s="290">
      <c r="A7" s="359" t="inlineStr">
        <is>
          <t>pH</t>
        </is>
      </c>
      <c r="B7" s="359" t="inlineStr">
        <is>
          <t>Titrator</t>
        </is>
      </c>
      <c r="C7" s="360" t="n"/>
    </row>
    <row r="8" ht="24" customHeight="1" s="290">
      <c r="A8" s="359" t="inlineStr">
        <is>
          <t>Sulphate</t>
        </is>
      </c>
      <c r="B8" s="359" t="inlineStr">
        <is>
          <t>Titrator</t>
        </is>
      </c>
      <c r="C8" s="360" t="n"/>
    </row>
  </sheetData>
  <conditionalFormatting sqref="A1:C1">
    <cfRule type="expression" rank="0" priority="2" equalAverage="0" aboveAverage="0" dxfId="0" text="" percent="0" bottom="0">
      <formula>LEN(TRIM(A1))=0</formula>
    </cfRule>
  </conditionalFormatting>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F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7.72" customWidth="1" style="289" min="1" max="1"/>
    <col width="30.24" customWidth="1" style="289" min="2" max="2"/>
    <col width="18.02" customWidth="1" style="289" min="3" max="3"/>
    <col width="17.38" customWidth="1" style="289" min="4" max="5"/>
    <col width="12.72" customWidth="1" style="289" min="6" max="1024"/>
  </cols>
  <sheetData>
    <row r="1" ht="19.5" customHeight="1" s="290">
      <c r="A1" s="362" t="inlineStr">
        <is>
          <t>Service_title</t>
        </is>
      </c>
      <c r="B1" s="303" t="inlineStr">
        <is>
          <t>keyword</t>
        </is>
      </c>
      <c r="C1" s="303" t="inlineStr">
        <is>
          <t>title</t>
        </is>
      </c>
      <c r="D1" s="324" t="inlineStr">
        <is>
          <t>value</t>
        </is>
      </c>
      <c r="E1" s="303" t="inlineStr">
        <is>
          <t>unit</t>
        </is>
      </c>
      <c r="F1" s="324" t="n"/>
    </row>
    <row r="2" ht="34.5" customHeight="1" s="290">
      <c r="A2" s="325" t="inlineStr">
        <is>
          <t>Interim Fields Used In Analysis Services</t>
        </is>
      </c>
      <c r="B2" s="326" t="n"/>
      <c r="C2" s="329" t="n"/>
      <c r="D2" s="326" t="n"/>
      <c r="E2" s="327" t="n"/>
      <c r="F2" s="326" t="n"/>
    </row>
    <row r="3" ht="24" customHeight="1" s="290">
      <c r="A3" s="356" t="inlineStr">
        <is>
          <t>Service Title</t>
        </is>
      </c>
      <c r="B3" s="356" t="inlineStr">
        <is>
          <t>Keyword</t>
        </is>
      </c>
      <c r="C3" s="356" t="inlineStr">
        <is>
          <t>Field Title</t>
        </is>
      </c>
      <c r="D3" s="356" t="inlineStr">
        <is>
          <t>Default value</t>
        </is>
      </c>
      <c r="E3" s="356" t="inlineStr">
        <is>
          <t>Unit</t>
        </is>
      </c>
      <c r="F3" s="356" t="n"/>
    </row>
  </sheetData>
  <conditionalFormatting sqref="A1:F1">
    <cfRule type="expression" rank="0" priority="2" equalAverage="0" aboveAverage="0" dxfId="0" text="" percent="0" bottom="0">
      <formula>LEN(TRIM(A1))=0</formula>
    </cfRule>
  </conditionalFormatting>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tabColor rgb="FFFFFF00"/>
    <outlinePr summaryBelow="1" summaryRight="1"/>
    <pageSetUpPr fitToPage="0"/>
  </sheetPr>
  <dimension ref="A1:E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17.38" customWidth="1" style="289" min="1" max="1"/>
    <col width="16.13" customWidth="1" style="289" min="2" max="2"/>
    <col width="26.58" customWidth="1" style="289" min="3" max="3"/>
    <col width="14.37" customWidth="1" style="289" min="4" max="4"/>
    <col width="25.2" customWidth="1" style="289" min="5" max="5"/>
    <col width="12.72" customWidth="1" style="289" min="6" max="1024"/>
  </cols>
  <sheetData>
    <row r="1" hidden="1" ht="28.5" customHeight="1" s="290">
      <c r="A1" s="303" t="inlineStr">
        <is>
          <t>Service_title</t>
        </is>
      </c>
      <c r="B1" s="303" t="inlineStr">
        <is>
          <t>Keyword</t>
        </is>
      </c>
      <c r="C1" s="303" t="inlineStr">
        <is>
          <t>ResultText</t>
        </is>
      </c>
      <c r="D1" s="303" t="inlineStr">
        <is>
          <t>ResultValue</t>
        </is>
      </c>
      <c r="E1" s="303" t="n"/>
    </row>
    <row r="2" ht="37.5" customHeight="1" s="290">
      <c r="A2" s="453" t="inlineStr">
        <is>
          <t>Analysis Service Results Options</t>
        </is>
      </c>
      <c r="B2" s="325" t="n"/>
      <c r="C2" s="327" t="n"/>
      <c r="D2" s="396" t="n"/>
      <c r="E2" s="307">
        <f>HYPERLINK("https://www.bikalabs.com","Creative Commons BYSA
Bika Lab Systems")</f>
        <v/>
      </c>
    </row>
    <row r="3" ht="24" customHeight="1" s="290">
      <c r="A3" s="517" t="inlineStr">
        <is>
          <t>⭐ Title</t>
        </is>
      </c>
      <c r="B3" s="356" t="inlineStr">
        <is>
          <t>Keyword</t>
        </is>
      </c>
      <c r="C3" s="517" t="inlineStr">
        <is>
          <t>⭐ Option</t>
        </is>
      </c>
      <c r="D3" s="518" t="inlineStr">
        <is>
          <t>⭐ Option value</t>
        </is>
      </c>
      <c r="E3" s="412" t="n"/>
    </row>
    <row r="4" ht="21" customHeight="1" s="290">
      <c r="A4" s="390" t="inlineStr">
        <is>
          <t>E.coli Detection</t>
        </is>
      </c>
      <c r="B4" s="359" t="n"/>
      <c r="C4" s="390" t="inlineStr">
        <is>
          <t>Detected</t>
        </is>
      </c>
      <c r="D4" s="360" t="n">
        <v>1</v>
      </c>
      <c r="E4" s="296" t="n"/>
    </row>
    <row r="5" ht="21" customHeight="1" s="290">
      <c r="A5" s="390" t="inlineStr">
        <is>
          <t>E.coli Detection</t>
        </is>
      </c>
      <c r="B5" s="359" t="n"/>
      <c r="C5" s="390" t="inlineStr">
        <is>
          <t>Indeterminable</t>
        </is>
      </c>
      <c r="D5" s="360" t="n">
        <v>0</v>
      </c>
      <c r="E5" s="296" t="n"/>
    </row>
    <row r="6" ht="21" customHeight="1" s="290">
      <c r="A6" s="390" t="inlineStr">
        <is>
          <t>E.coli Detection</t>
        </is>
      </c>
      <c r="B6" s="359" t="n"/>
      <c r="C6" s="390" t="inlineStr">
        <is>
          <t>Not Detected</t>
        </is>
      </c>
      <c r="D6" s="360" t="n">
        <v>-1</v>
      </c>
      <c r="E6" s="296" t="n"/>
    </row>
    <row r="7" ht="21" customHeight="1" s="290">
      <c r="A7" s="390" t="inlineStr">
        <is>
          <t>Colour</t>
        </is>
      </c>
      <c r="B7" s="359" t="n"/>
      <c r="C7" s="390" t="inlineStr">
        <is>
          <t>Clear</t>
        </is>
      </c>
      <c r="D7" s="360" t="n">
        <v>0</v>
      </c>
      <c r="E7" s="296" t="n"/>
    </row>
    <row r="8" ht="21" customHeight="1" s="290">
      <c r="A8" s="390" t="inlineStr">
        <is>
          <t>Colour</t>
        </is>
      </c>
      <c r="B8" s="359" t="n"/>
      <c r="C8" s="390" t="inlineStr">
        <is>
          <t>Muddy Brown</t>
        </is>
      </c>
      <c r="D8" s="360" t="n">
        <v>1</v>
      </c>
      <c r="E8" s="296" t="n"/>
    </row>
    <row r="9" ht="21" customHeight="1" s="290">
      <c r="A9" s="390" t="inlineStr">
        <is>
          <t>Colour</t>
        </is>
      </c>
      <c r="B9" s="359" t="n"/>
      <c r="C9" s="390" t="inlineStr">
        <is>
          <t>Green</t>
        </is>
      </c>
      <c r="D9" s="360" t="n">
        <v>2</v>
      </c>
      <c r="E9" s="296" t="n"/>
    </row>
  </sheetData>
  <conditionalFormatting sqref="A1:E1">
    <cfRule type="expression" rank="0" priority="2" equalAverage="0" aboveAverage="0" dxfId="0" text="" percent="0" bottom="0">
      <formula>LEN(TRIM(A1))=0</formula>
    </cfRule>
  </conditionalFormatting>
  <conditionalFormatting sqref="A4:A9">
    <cfRule type="expression" rank="0" priority="3" equalAverage="0" aboveAverage="0" dxfId="0" text="" percent="0" bottom="0">
      <formula>NOT(COUNTIF(INDIRECT("Analysis Services!"&amp;"C$4:C"),A4)&gt;0)*NOT(ISBLANK(A4))</formula>
    </cfRule>
  </conditionalFormatting>
  <conditionalFormatting sqref="B4:B9">
    <cfRule type="expression" rank="0" priority="4" equalAverage="0" aboveAverage="0" dxfId="0" text="" percent="0" bottom="0">
      <formula>NOT(COUNTIF(INDIRECT("Analysis Services!"&amp;"F$4:F"),B4)&gt;0)*NOT(ISBLANK(B4))</formula>
    </cfRule>
  </conditionalFormatting>
  <dataValidations count="2">
    <dataValidation sqref="A4:A9" showDropDown="0" showInputMessage="0" showErrorMessage="1" allowBlank="1" type="list" errorStyle="stop" operator="equal">
      <formula1>'Analysis Services'!$C$4:$C9</formula1>
      <formula2>0</formula2>
    </dataValidation>
    <dataValidation sqref="B4:B9" showDropDown="0" showInputMessage="0" showErrorMessage="1" allowBlank="1" type="list" errorStyle="stop" operator="equal">
      <formula1>'Analysis Services'!$F$4:$F9</formula1>
      <formula2>0</formula2>
    </dataValidation>
  </dataValidation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tabColor rgb="FF5DD727"/>
    <outlinePr summaryBelow="1" summaryRight="1"/>
    <pageSetUpPr fitToPage="0"/>
  </sheetPr>
  <dimension ref="A1:F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2.67" customWidth="1" style="289" min="1" max="1"/>
    <col width="25.83" customWidth="1" style="289" min="2" max="2"/>
    <col width="16.13" customWidth="1" style="289" min="3" max="4"/>
    <col width="15.11" customWidth="1" style="289" min="5" max="5"/>
    <col width="28.85" customWidth="1" style="289" min="6" max="6"/>
    <col width="12.72" customWidth="1" style="289" min="7" max="1024"/>
  </cols>
  <sheetData>
    <row r="1" hidden="1" ht="28.5" customHeight="1" s="290">
      <c r="A1" s="519" t="inlineStr">
        <is>
          <t>Service_title</t>
        </is>
      </c>
      <c r="B1" s="303" t="inlineStr">
        <is>
          <t>Keyword</t>
        </is>
      </c>
      <c r="C1" s="519" t="inlineStr">
        <is>
          <t>Range Min</t>
        </is>
      </c>
      <c r="D1" s="519" t="inlineStr">
        <is>
          <t>Range Max</t>
        </is>
      </c>
      <c r="E1" s="520" t="inlineStr">
        <is>
          <t>Uncertainty Value</t>
        </is>
      </c>
      <c r="F1" s="519" t="n"/>
    </row>
    <row r="2" ht="37.5" customHeight="1" s="290">
      <c r="A2" s="325" t="inlineStr">
        <is>
          <t>Analysis Service Uncertainties</t>
        </is>
      </c>
      <c r="B2" s="325" t="n"/>
      <c r="C2" s="521" t="inlineStr">
        <is>
          <t>Range</t>
        </is>
      </c>
      <c r="D2" s="332" t="n"/>
      <c r="E2" s="522" t="n"/>
      <c r="F2" s="307">
        <f>HYPERLINK("https://www.bikalabs.com","Creative Commons BYSA
Bika Lab Systems")</f>
        <v/>
      </c>
    </row>
    <row r="3" ht="24" customHeight="1" s="290">
      <c r="A3" s="334" t="inlineStr">
        <is>
          <t>⭐ Analysis Service Title</t>
        </is>
      </c>
      <c r="B3" s="356" t="inlineStr">
        <is>
          <t>AS Keyword</t>
        </is>
      </c>
      <c r="C3" s="334" t="inlineStr">
        <is>
          <t>⭐ Minimum</t>
        </is>
      </c>
      <c r="D3" s="334" t="inlineStr">
        <is>
          <t>⭐ Maximum</t>
        </is>
      </c>
      <c r="E3" s="335" t="inlineStr">
        <is>
          <t>⭐ Uncertainty</t>
        </is>
      </c>
      <c r="F3" s="349" t="n"/>
    </row>
    <row r="4" ht="21" customHeight="1" s="290">
      <c r="A4" s="390" t="inlineStr">
        <is>
          <t>Chloride</t>
        </is>
      </c>
      <c r="B4" s="359" t="n"/>
      <c r="C4" s="360" t="n">
        <v>0</v>
      </c>
      <c r="D4" s="360" t="n">
        <v>999999</v>
      </c>
      <c r="E4" s="371" t="inlineStr">
        <is>
          <t>3%</t>
        </is>
      </c>
      <c r="F4" s="359" t="n"/>
    </row>
    <row r="5" ht="21" customHeight="1" s="290">
      <c r="A5" s="390" t="inlineStr">
        <is>
          <t>Free Chlorine</t>
        </is>
      </c>
      <c r="B5" s="359" t="n"/>
      <c r="C5" s="360" t="n">
        <v>0</v>
      </c>
      <c r="D5" s="360" t="n">
        <v>999999</v>
      </c>
      <c r="E5" s="371" t="inlineStr">
        <is>
          <t>3%</t>
        </is>
      </c>
      <c r="F5" s="359" t="n"/>
    </row>
    <row r="6" ht="21" customHeight="1" s="290">
      <c r="A6" s="390" t="inlineStr">
        <is>
          <t>Aluminium</t>
        </is>
      </c>
      <c r="B6" s="359" t="n"/>
      <c r="C6" s="360" t="n">
        <v>0</v>
      </c>
      <c r="D6" s="360" t="n">
        <v>999999</v>
      </c>
      <c r="E6" s="371" t="inlineStr">
        <is>
          <t>3%</t>
        </is>
      </c>
      <c r="F6" s="359" t="n"/>
    </row>
    <row r="7" ht="21" customHeight="1" s="290">
      <c r="A7" s="390" t="inlineStr">
        <is>
          <t>Calcium</t>
        </is>
      </c>
      <c r="B7" s="359" t="n"/>
      <c r="C7" s="360" t="n">
        <v>0</v>
      </c>
      <c r="D7" s="360" t="n">
        <v>999999</v>
      </c>
      <c r="E7" s="371" t="inlineStr">
        <is>
          <t>3%</t>
        </is>
      </c>
      <c r="F7" s="359" t="n"/>
    </row>
    <row r="8" ht="21" customHeight="1" s="290">
      <c r="A8" s="390" t="inlineStr">
        <is>
          <t>Iron</t>
        </is>
      </c>
      <c r="B8" s="359" t="n"/>
      <c r="C8" s="360" t="n">
        <v>0</v>
      </c>
      <c r="D8" s="360" t="n">
        <v>999999</v>
      </c>
      <c r="E8" s="371" t="inlineStr">
        <is>
          <t>3%</t>
        </is>
      </c>
      <c r="F8" s="359" t="n"/>
    </row>
    <row r="9" ht="21" customHeight="1" s="290">
      <c r="A9" s="390" t="inlineStr">
        <is>
          <t>Magnesium</t>
        </is>
      </c>
      <c r="B9" s="359" t="n"/>
      <c r="C9" s="360" t="n">
        <v>0</v>
      </c>
      <c r="D9" s="360" t="n">
        <v>999999</v>
      </c>
      <c r="E9" s="371" t="inlineStr">
        <is>
          <t>3%</t>
        </is>
      </c>
      <c r="F9" s="359" t="n"/>
    </row>
    <row r="10" ht="21" customHeight="1" s="290">
      <c r="A10" s="390" t="inlineStr">
        <is>
          <t>Manganese</t>
        </is>
      </c>
      <c r="B10" s="359" t="n"/>
      <c r="C10" s="360" t="n">
        <v>0</v>
      </c>
      <c r="D10" s="360" t="n">
        <v>999999</v>
      </c>
      <c r="E10" s="371" t="inlineStr">
        <is>
          <t>3%</t>
        </is>
      </c>
      <c r="F10" s="359" t="n"/>
    </row>
    <row r="11" ht="21" customHeight="1" s="290">
      <c r="A11" s="390" t="inlineStr">
        <is>
          <t>Sodium</t>
        </is>
      </c>
      <c r="B11" s="359" t="n"/>
      <c r="C11" s="360" t="n">
        <v>0</v>
      </c>
      <c r="D11" s="360" t="n">
        <v>999999</v>
      </c>
      <c r="E11" s="371" t="inlineStr">
        <is>
          <t>3%</t>
        </is>
      </c>
      <c r="F11" s="359" t="n"/>
    </row>
    <row r="12" ht="21" customHeight="1" s="290">
      <c r="A12" s="390" t="inlineStr">
        <is>
          <t>Heterotrophic Plate Count</t>
        </is>
      </c>
      <c r="B12" s="359" t="n"/>
      <c r="C12" s="360" t="n">
        <v>0</v>
      </c>
      <c r="D12" s="360" t="n">
        <v>999999</v>
      </c>
      <c r="E12" s="371" t="inlineStr">
        <is>
          <t>3%</t>
        </is>
      </c>
      <c r="F12" s="359" t="n"/>
    </row>
    <row r="13" ht="21" customHeight="1" s="290">
      <c r="A13" s="390" t="inlineStr">
        <is>
          <t>Total Coliforms</t>
        </is>
      </c>
      <c r="B13" s="359" t="n"/>
      <c r="C13" s="360" t="n">
        <v>0</v>
      </c>
      <c r="D13" s="360" t="n">
        <v>999999</v>
      </c>
      <c r="E13" s="371" t="inlineStr">
        <is>
          <t>3%</t>
        </is>
      </c>
      <c r="F13" s="359" t="n"/>
    </row>
    <row r="14" ht="21" customHeight="1" s="290">
      <c r="A14" s="390" t="inlineStr">
        <is>
          <t>Alkalinity</t>
        </is>
      </c>
      <c r="B14" s="359" t="n"/>
      <c r="C14" s="360" t="n">
        <v>0</v>
      </c>
      <c r="D14" s="360" t="n">
        <v>999999</v>
      </c>
      <c r="E14" s="371" t="inlineStr">
        <is>
          <t>3%</t>
        </is>
      </c>
      <c r="F14" s="359" t="n"/>
    </row>
    <row r="15" ht="21" customHeight="1" s="290">
      <c r="A15" s="390" t="inlineStr">
        <is>
          <t>Conductivity</t>
        </is>
      </c>
      <c r="B15" s="359" t="n"/>
      <c r="C15" s="360" t="n">
        <v>0</v>
      </c>
      <c r="D15" s="360" t="n">
        <v>999999</v>
      </c>
      <c r="E15" s="371" t="inlineStr">
        <is>
          <t>3%</t>
        </is>
      </c>
      <c r="F15" s="359" t="n"/>
    </row>
    <row r="16" ht="21" customHeight="1" s="290">
      <c r="A16" s="390" t="inlineStr">
        <is>
          <t>pH</t>
        </is>
      </c>
      <c r="B16" s="359" t="n"/>
      <c r="C16" s="360" t="n">
        <v>0</v>
      </c>
      <c r="D16" s="360" t="n">
        <v>999999</v>
      </c>
      <c r="E16" s="371" t="inlineStr">
        <is>
          <t>3%</t>
        </is>
      </c>
      <c r="F16" s="359" t="n"/>
    </row>
    <row r="17" ht="21" customHeight="1" s="290">
      <c r="A17" s="390" t="inlineStr">
        <is>
          <t>Sulphate</t>
        </is>
      </c>
      <c r="B17" s="359" t="n"/>
      <c r="C17" s="360" t="n">
        <v>0</v>
      </c>
      <c r="D17" s="360" t="n">
        <v>999999</v>
      </c>
      <c r="E17" s="371" t="inlineStr">
        <is>
          <t>3%</t>
        </is>
      </c>
      <c r="F17" s="359" t="n"/>
    </row>
    <row r="18" ht="21" customHeight="1" s="290">
      <c r="A18" s="390" t="inlineStr">
        <is>
          <t>Temperature</t>
        </is>
      </c>
      <c r="B18" s="359" t="n"/>
      <c r="C18" s="360" t="n">
        <v>0</v>
      </c>
      <c r="D18" s="360" t="n">
        <v>999999</v>
      </c>
      <c r="E18" s="371" t="inlineStr">
        <is>
          <t>3%</t>
        </is>
      </c>
      <c r="F18" s="359" t="n"/>
    </row>
    <row r="19" ht="21" customHeight="1" s="290">
      <c r="A19" s="390" t="inlineStr">
        <is>
          <t>Total Dissolved Salts</t>
        </is>
      </c>
      <c r="B19" s="359" t="n"/>
      <c r="C19" s="360" t="n">
        <v>0</v>
      </c>
      <c r="D19" s="360" t="n">
        <v>999999</v>
      </c>
      <c r="E19" s="371" t="inlineStr">
        <is>
          <t>3%</t>
        </is>
      </c>
      <c r="F19" s="359" t="n"/>
    </row>
    <row r="20" ht="21" customHeight="1" s="290">
      <c r="A20" s="390" t="inlineStr">
        <is>
          <t>Turbidity</t>
        </is>
      </c>
      <c r="B20" s="359" t="n"/>
      <c r="C20" s="360" t="n">
        <v>0</v>
      </c>
      <c r="D20" s="360" t="n">
        <v>999999</v>
      </c>
      <c r="E20" s="371" t="inlineStr">
        <is>
          <t>3%</t>
        </is>
      </c>
      <c r="F20" s="359" t="n"/>
    </row>
  </sheetData>
  <mergeCells count="1">
    <mergeCell ref="C2:D2"/>
  </mergeCells>
  <conditionalFormatting sqref="B4:B20">
    <cfRule type="expression" rank="0" priority="2" equalAverage="0" aboveAverage="0" dxfId="0" text="" percent="0" bottom="0">
      <formula>NOT(COUNTIF(INDIRECT("Analysis Services!"&amp;"F$4:F"),B4)&gt;0)*NOT(ISBLANK(B4))</formula>
    </cfRule>
  </conditionalFormatting>
  <conditionalFormatting sqref="A4:A20">
    <cfRule type="expression" rank="0" priority="3" equalAverage="0" aboveAverage="0" dxfId="0" text="" percent="0" bottom="0">
      <formula>NOT(COUNTIF(INDIRECT("Analysis Services!"&amp;"C$4:C"),A4)&gt;0)*NOT(ISBLANK(A4))</formula>
    </cfRule>
  </conditionalFormatting>
  <conditionalFormatting sqref="A1:F1">
    <cfRule type="expression" rank="0" priority="4" equalAverage="0" aboveAverage="0" dxfId="0" text="" percent="0" bottom="0">
      <formula>LEN(TRIM(A1))=0</formula>
    </cfRule>
  </conditionalFormatting>
  <dataValidations count="3">
    <dataValidation sqref="A4:A20" showDropDown="0" showInputMessage="0" showErrorMessage="1" allowBlank="1" type="list" errorStyle="stop" operator="equal">
      <formula1>'Analysis Services'!$C$4:$C20</formula1>
      <formula2>0</formula2>
    </dataValidation>
    <dataValidation sqref="B4:B20" showDropDown="0" showInputMessage="0" showErrorMessage="1" allowBlank="1" type="list" errorStyle="stop" operator="equal">
      <formula1>'Analysis Services'!$F$4:$F20</formula1>
      <formula2>0</formula2>
    </dataValidation>
    <dataValidation sqref="C4:D20" showDropDown="0" showInputMessage="0" showErrorMessage="0" allowBlank="1" type="decimal" errorStyle="stop" operator="between">
      <formula1>-1E+024</formula1>
      <formula2>99999999999999</formula2>
    </dataValidation>
  </dataValidations>
  <printOptions horizontalCentered="1" verticalCentered="0" headings="0" gridLines="1" gridLinesSet="1"/>
  <pageMargins left="0.25" right="0.25" top="0.75" bottom="0.75" header="0.511811023622047" footer="0.511811023622047"/>
  <pageSetup orientation="portrait" paperSize="1" scale="70" fitToHeight="1" fitToWidth="1" pageOrder="overThenDown" blackAndWhite="0" draft="0" horizontalDpi="300" verticalDpi="300" copies="1"/>
</worksheet>
</file>

<file path=xl/worksheets/sheet34.xml><?xml version="1.0" encoding="utf-8"?>
<worksheet xmlns="http://schemas.openxmlformats.org/spreadsheetml/2006/main">
  <sheetPr filterMode="0">
    <tabColor rgb="FFFFFF00"/>
    <outlinePr summaryBelow="1" summaryRight="1"/>
    <pageSetUpPr fitToPage="0"/>
  </sheetPr>
  <dimension ref="A1:K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hidden="1" outlineLevel="1" width="14.23" customWidth="1" style="289" min="1" max="1"/>
    <col width="34.13" customWidth="1" style="289" min="2" max="3"/>
    <col width="23.81" customWidth="1" style="289" min="4" max="4"/>
    <col width="29.87" customWidth="1" style="289" min="5" max="5"/>
    <col width="15.24" customWidth="1" style="289" min="6" max="6"/>
    <col width="10.46" customWidth="1" style="289" min="7" max="8"/>
    <col width="20.4" customWidth="1" style="289" min="9" max="11"/>
    <col width="12.72" customWidth="1" style="289" min="12" max="1024"/>
  </cols>
  <sheetData>
    <row r="1" hidden="1" ht="24.75" customHeight="1" s="290">
      <c r="A1" s="363" t="inlineStr">
        <is>
          <t>Client_title</t>
        </is>
      </c>
      <c r="B1" s="363" t="inlineStr">
        <is>
          <t>Title</t>
        </is>
      </c>
      <c r="C1" s="363" t="inlineStr">
        <is>
          <t>Description</t>
        </is>
      </c>
      <c r="D1" s="363" t="inlineStr">
        <is>
          <t>SampleType_title</t>
        </is>
      </c>
      <c r="E1" s="363" t="inlineStr">
        <is>
          <t>service</t>
        </is>
      </c>
      <c r="F1" s="303" t="inlineStr">
        <is>
          <t>Keyword</t>
        </is>
      </c>
      <c r="G1" s="303" t="inlineStr">
        <is>
          <t>min</t>
        </is>
      </c>
      <c r="H1" s="324" t="inlineStr">
        <is>
          <t>max</t>
        </is>
      </c>
      <c r="I1" s="303" t="n"/>
      <c r="J1" s="303" t="n"/>
      <c r="K1" s="303" t="n"/>
    </row>
    <row r="2" ht="31.5" customHeight="1" s="290">
      <c r="A2" s="523" t="n"/>
      <c r="B2" s="523">
        <f>HYPERLINK("https://www.bikalims.org/manual/setup-and-configuration/product-specifications-qc","Analysis Specifications")</f>
        <v/>
      </c>
      <c r="C2" s="523" t="n"/>
      <c r="D2" s="523" t="n"/>
      <c r="E2" s="524" t="inlineStr">
        <is>
          <t>Analysis Services</t>
        </is>
      </c>
      <c r="F2" s="332" t="n"/>
      <c r="G2" s="356" t="inlineStr">
        <is>
          <t>Valid range</t>
        </is>
      </c>
      <c r="H2" s="332" t="n"/>
      <c r="I2" s="525" t="inlineStr">
        <is>
          <t>Product, Regulatory and scientific standards and valid ranges, limits</t>
        </is>
      </c>
      <c r="J2" s="526" t="n"/>
      <c r="K2" s="307">
        <f>HYPERLINK("https://www.bikalabs.com","Creative Commons BYSA
Bika Lab Systems")</f>
        <v/>
      </c>
    </row>
    <row r="3" ht="24" customHeight="1" s="290">
      <c r="A3" s="403" t="inlineStr">
        <is>
          <t>Client</t>
        </is>
      </c>
      <c r="B3" s="403" t="inlineStr">
        <is>
          <t>⭐ Title</t>
        </is>
      </c>
      <c r="C3" s="403" t="inlineStr">
        <is>
          <t>Description</t>
        </is>
      </c>
      <c r="D3" s="403" t="inlineStr">
        <is>
          <t>⭐  Sample type</t>
        </is>
      </c>
      <c r="E3" s="403" t="inlineStr">
        <is>
          <t>⭐ Title</t>
        </is>
      </c>
      <c r="F3" s="356" t="inlineStr">
        <is>
          <t>Keyword</t>
        </is>
      </c>
      <c r="G3" s="356" t="inlineStr">
        <is>
          <t>Minimum</t>
        </is>
      </c>
      <c r="H3" s="356" t="inlineStr">
        <is>
          <t>Maximum</t>
        </is>
      </c>
      <c r="I3" s="527" t="n"/>
      <c r="J3" s="528" t="n"/>
      <c r="K3" s="310" t="n"/>
    </row>
    <row r="4" ht="21" customHeight="1" s="290">
      <c r="A4" s="370" t="n"/>
      <c r="B4" s="370" t="inlineStr">
        <is>
          <t>WHO Drinking Water Standards</t>
        </is>
      </c>
      <c r="C4" s="370" t="inlineStr">
        <is>
          <t>WHO, 2015 rev 12B</t>
        </is>
      </c>
      <c r="D4" s="370" t="inlineStr">
        <is>
          <t>Drinking Water</t>
        </is>
      </c>
      <c r="E4" s="390" t="inlineStr">
        <is>
          <t>Alkalinity</t>
        </is>
      </c>
      <c r="F4" s="359" t="inlineStr">
        <is>
          <t>Alkalinity</t>
        </is>
      </c>
      <c r="G4" s="337" t="n"/>
      <c r="H4" s="337" t="n">
        <v>100</v>
      </c>
      <c r="I4" s="317" t="n"/>
      <c r="J4" s="337" t="n"/>
      <c r="K4" s="337" t="n"/>
    </row>
    <row r="5" ht="21" customHeight="1" s="290">
      <c r="A5" s="370" t="n"/>
      <c r="B5" s="370" t="inlineStr">
        <is>
          <t>WHO Drinking Water Standards</t>
        </is>
      </c>
      <c r="C5" s="370" t="inlineStr">
        <is>
          <t>WHO, 2015 rev 12B</t>
        </is>
      </c>
      <c r="D5" s="370" t="inlineStr">
        <is>
          <t>Drinking Water</t>
        </is>
      </c>
      <c r="E5" s="390" t="inlineStr">
        <is>
          <t>Aluminium</t>
        </is>
      </c>
      <c r="F5" s="359" t="inlineStr">
        <is>
          <t>Aluminium</t>
        </is>
      </c>
      <c r="G5" s="337" t="n"/>
      <c r="H5" s="337" t="n">
        <v>0.2</v>
      </c>
      <c r="I5" s="317" t="n"/>
      <c r="J5" s="337" t="n"/>
      <c r="K5" s="337" t="n"/>
    </row>
    <row r="6" ht="21" customHeight="1" s="290">
      <c r="A6" s="370" t="n"/>
      <c r="B6" s="370" t="inlineStr">
        <is>
          <t>WHO Drinking Water Standards</t>
        </is>
      </c>
      <c r="C6" s="370" t="inlineStr">
        <is>
          <t>WHO, 2015 rev 12B</t>
        </is>
      </c>
      <c r="D6" s="370" t="inlineStr">
        <is>
          <t>Drinking Water</t>
        </is>
      </c>
      <c r="E6" s="390" t="inlineStr">
        <is>
          <t>Calcium</t>
        </is>
      </c>
      <c r="F6" s="359" t="inlineStr">
        <is>
          <t>Calcium</t>
        </is>
      </c>
      <c r="G6" s="337" t="n"/>
      <c r="H6" s="337" t="n">
        <v>10</v>
      </c>
      <c r="I6" s="317" t="n"/>
      <c r="J6" s="337" t="n"/>
      <c r="K6" s="337" t="n"/>
    </row>
    <row r="7" ht="21" customHeight="1" s="290">
      <c r="A7" s="370" t="n"/>
      <c r="B7" s="370" t="inlineStr">
        <is>
          <t>WHO Drinking Water Standards</t>
        </is>
      </c>
      <c r="C7" s="370" t="inlineStr">
        <is>
          <t>WHO, 2015 rev 12B</t>
        </is>
      </c>
      <c r="D7" s="370" t="inlineStr">
        <is>
          <t>Drinking Water</t>
        </is>
      </c>
      <c r="E7" s="390" t="inlineStr">
        <is>
          <t>Chloride</t>
        </is>
      </c>
      <c r="F7" s="359" t="inlineStr">
        <is>
          <t>Chloride</t>
        </is>
      </c>
      <c r="G7" s="337" t="n"/>
      <c r="H7" s="337" t="n">
        <v>250</v>
      </c>
      <c r="I7" s="317" t="n"/>
      <c r="J7" s="337" t="n"/>
      <c r="K7" s="337" t="n"/>
    </row>
    <row r="8" ht="21" customHeight="1" s="290">
      <c r="A8" s="370" t="n"/>
      <c r="B8" s="370" t="inlineStr">
        <is>
          <t>WHO Drinking Water Standards</t>
        </is>
      </c>
      <c r="C8" s="370" t="inlineStr">
        <is>
          <t>WHO, 2015 rev 12B</t>
        </is>
      </c>
      <c r="D8" s="370" t="inlineStr">
        <is>
          <t>Drinking Water</t>
        </is>
      </c>
      <c r="E8" s="390" t="inlineStr">
        <is>
          <t>Colour</t>
        </is>
      </c>
      <c r="F8" s="359" t="inlineStr">
        <is>
          <t>Colour</t>
        </is>
      </c>
      <c r="G8" s="337" t="n"/>
      <c r="H8" s="337" t="n">
        <v>0</v>
      </c>
      <c r="I8" s="317" t="n"/>
      <c r="J8" s="337" t="n"/>
      <c r="K8" s="337" t="n"/>
    </row>
    <row r="9" ht="21" customHeight="1" s="290">
      <c r="A9" s="370" t="n"/>
      <c r="B9" s="370" t="inlineStr">
        <is>
          <t>WHO Drinking Water Standards</t>
        </is>
      </c>
      <c r="C9" s="370" t="inlineStr">
        <is>
          <t>WHO, 2015 rev 12B</t>
        </is>
      </c>
      <c r="D9" s="370" t="inlineStr">
        <is>
          <t>Drinking Water</t>
        </is>
      </c>
      <c r="E9" s="390" t="inlineStr">
        <is>
          <t>Conductivity</t>
        </is>
      </c>
      <c r="F9" s="359" t="inlineStr">
        <is>
          <t>EC</t>
        </is>
      </c>
      <c r="G9" s="337" t="n"/>
      <c r="H9" s="337" t="n">
        <v>400</v>
      </c>
      <c r="I9" s="317" t="n"/>
      <c r="J9" s="337" t="n"/>
      <c r="K9" s="337" t="n"/>
    </row>
    <row r="10" ht="21" customHeight="1" s="290">
      <c r="A10" s="370" t="n"/>
      <c r="B10" s="370" t="inlineStr">
        <is>
          <t>WHO Drinking Water Standards</t>
        </is>
      </c>
      <c r="C10" s="370" t="inlineStr">
        <is>
          <t>WHO, 2015 rev 12B</t>
        </is>
      </c>
      <c r="D10" s="370" t="inlineStr">
        <is>
          <t>Drinking Water</t>
        </is>
      </c>
      <c r="E10" s="390" t="inlineStr">
        <is>
          <t>E.coli Detection</t>
        </is>
      </c>
      <c r="F10" s="359" t="inlineStr">
        <is>
          <t>Ecoli</t>
        </is>
      </c>
      <c r="G10" s="337" t="n">
        <v>-1</v>
      </c>
      <c r="H10" s="337" t="n">
        <v>-1</v>
      </c>
      <c r="I10" s="317" t="n"/>
      <c r="J10" s="337" t="n"/>
      <c r="K10" s="337" t="n"/>
    </row>
    <row r="11" ht="21" customHeight="1" s="290">
      <c r="A11" s="370" t="n"/>
      <c r="B11" s="370" t="inlineStr">
        <is>
          <t>WHO Drinking Water Standards</t>
        </is>
      </c>
      <c r="C11" s="370" t="inlineStr">
        <is>
          <t>WHO, 2015 rev 12B</t>
        </is>
      </c>
      <c r="D11" s="370" t="inlineStr">
        <is>
          <t>Drinking Water</t>
        </is>
      </c>
      <c r="E11" s="390" t="inlineStr">
        <is>
          <t>Free Chlorine</t>
        </is>
      </c>
      <c r="F11" s="359" t="inlineStr">
        <is>
          <t>FreeCl</t>
        </is>
      </c>
      <c r="G11" s="337" t="n">
        <v>0</v>
      </c>
      <c r="H11" s="337" t="n">
        <v>250</v>
      </c>
      <c r="I11" s="317" t="n"/>
      <c r="J11" s="337" t="n"/>
      <c r="K11" s="337" t="n"/>
    </row>
    <row r="12" ht="21" customHeight="1" s="290">
      <c r="A12" s="370" t="n"/>
      <c r="B12" s="370" t="inlineStr">
        <is>
          <t>WHO Drinking Water Standards</t>
        </is>
      </c>
      <c r="C12" s="370" t="inlineStr">
        <is>
          <t>WHO, 2015 rev 12B</t>
        </is>
      </c>
      <c r="D12" s="370" t="inlineStr">
        <is>
          <t>Drinking Water</t>
        </is>
      </c>
      <c r="E12" s="390" t="inlineStr">
        <is>
          <t>Heterotrophic Plate Count</t>
        </is>
      </c>
      <c r="F12" s="359" t="inlineStr">
        <is>
          <t>HPC</t>
        </is>
      </c>
      <c r="G12" s="337" t="n">
        <v>0</v>
      </c>
      <c r="H12" s="337" t="n">
        <v>0</v>
      </c>
      <c r="I12" s="317" t="n"/>
      <c r="J12" s="337" t="n"/>
      <c r="K12" s="337" t="n"/>
    </row>
    <row r="13" ht="21" customHeight="1" s="290">
      <c r="A13" s="370" t="n"/>
      <c r="B13" s="370" t="inlineStr">
        <is>
          <t>WHO Drinking Water Standards</t>
        </is>
      </c>
      <c r="C13" s="370" t="inlineStr">
        <is>
          <t>WHO, 2015 rev 12B</t>
        </is>
      </c>
      <c r="D13" s="370" t="inlineStr">
        <is>
          <t>Drinking Water</t>
        </is>
      </c>
      <c r="E13" s="390" t="inlineStr">
        <is>
          <t>Iron</t>
        </is>
      </c>
      <c r="F13" s="359" t="inlineStr">
        <is>
          <t>Fe</t>
        </is>
      </c>
      <c r="G13" s="337" t="n">
        <v>0</v>
      </c>
      <c r="H13" s="337" t="n">
        <v>0.02</v>
      </c>
      <c r="I13" s="317" t="n"/>
      <c r="J13" s="337" t="n"/>
      <c r="K13" s="337" t="n"/>
    </row>
    <row r="14" ht="21" customHeight="1" s="290">
      <c r="A14" s="370" t="n"/>
      <c r="B14" s="370" t="inlineStr">
        <is>
          <t>WHO Drinking Water Standards</t>
        </is>
      </c>
      <c r="C14" s="370" t="inlineStr">
        <is>
          <t>WHO, 2015 rev 12B</t>
        </is>
      </c>
      <c r="D14" s="370" t="inlineStr">
        <is>
          <t>Drinking Water</t>
        </is>
      </c>
      <c r="E14" s="390" t="inlineStr">
        <is>
          <t>Magnesium</t>
        </is>
      </c>
      <c r="F14" s="359" t="inlineStr">
        <is>
          <t>Magnesium</t>
        </is>
      </c>
      <c r="G14" s="337" t="n">
        <v>0</v>
      </c>
      <c r="H14" s="337" t="n">
        <v>10</v>
      </c>
      <c r="I14" s="317" t="n"/>
      <c r="J14" s="337" t="n"/>
      <c r="K14" s="337" t="n"/>
    </row>
    <row r="15" ht="21" customHeight="1" s="290">
      <c r="A15" s="370" t="n"/>
      <c r="B15" s="370" t="inlineStr">
        <is>
          <t>WHO Drinking Water Standards</t>
        </is>
      </c>
      <c r="C15" s="370" t="inlineStr">
        <is>
          <t>WHO, 2015 rev 12B</t>
        </is>
      </c>
      <c r="D15" s="370" t="inlineStr">
        <is>
          <t>Drinking Water</t>
        </is>
      </c>
      <c r="E15" s="390" t="inlineStr">
        <is>
          <t>Manganese</t>
        </is>
      </c>
      <c r="F15" s="359" t="inlineStr">
        <is>
          <t>Mn</t>
        </is>
      </c>
      <c r="G15" s="337" t="n">
        <v>0</v>
      </c>
      <c r="H15" s="337" t="n">
        <v>750</v>
      </c>
      <c r="I15" s="317" t="n"/>
      <c r="J15" s="337" t="n"/>
      <c r="K15" s="337" t="n"/>
    </row>
    <row r="16" ht="21" customHeight="1" s="290">
      <c r="A16" s="370" t="n"/>
      <c r="B16" s="370" t="inlineStr">
        <is>
          <t>WHO Drinking Water Standards</t>
        </is>
      </c>
      <c r="C16" s="370" t="inlineStr">
        <is>
          <t>WHO, 2015 rev 12B</t>
        </is>
      </c>
      <c r="D16" s="370" t="inlineStr">
        <is>
          <t>Drinking Water</t>
        </is>
      </c>
      <c r="E16" s="390" t="inlineStr">
        <is>
          <t>pH</t>
        </is>
      </c>
      <c r="F16" s="359" t="inlineStr">
        <is>
          <t>pH</t>
        </is>
      </c>
      <c r="G16" s="337" t="n">
        <v>5.5</v>
      </c>
      <c r="H16" s="337" t="n">
        <v>8.5</v>
      </c>
      <c r="I16" s="317" t="n"/>
      <c r="J16" s="337" t="n"/>
      <c r="K16" s="337" t="n"/>
    </row>
    <row r="17" ht="21" customHeight="1" s="290">
      <c r="A17" s="370" t="n"/>
      <c r="B17" s="370" t="inlineStr">
        <is>
          <t>WHO Drinking Water Standards</t>
        </is>
      </c>
      <c r="C17" s="370" t="inlineStr">
        <is>
          <t>WHO, 2015 rev 12B</t>
        </is>
      </c>
      <c r="D17" s="370" t="inlineStr">
        <is>
          <t>Drinking Water</t>
        </is>
      </c>
      <c r="E17" s="390" t="inlineStr">
        <is>
          <t>Sodium</t>
        </is>
      </c>
      <c r="F17" s="359" t="inlineStr">
        <is>
          <t>Sodium</t>
        </is>
      </c>
      <c r="G17" s="337" t="n">
        <v>0</v>
      </c>
      <c r="H17" s="337" t="n">
        <v>400</v>
      </c>
      <c r="I17" s="317" t="n"/>
      <c r="J17" s="337" t="n"/>
      <c r="K17" s="337" t="n"/>
    </row>
    <row r="18" ht="21" customHeight="1" s="290">
      <c r="A18" s="370" t="n"/>
      <c r="B18" s="370" t="inlineStr">
        <is>
          <t>WHO Drinking Water Standards</t>
        </is>
      </c>
      <c r="C18" s="370" t="inlineStr">
        <is>
          <t>WHO, 2015 rev 12B</t>
        </is>
      </c>
      <c r="D18" s="370" t="inlineStr">
        <is>
          <t>Drinking Water</t>
        </is>
      </c>
      <c r="E18" s="390" t="inlineStr">
        <is>
          <t>Sulphate</t>
        </is>
      </c>
      <c r="F18" s="359" t="inlineStr">
        <is>
          <t>Sulphate</t>
        </is>
      </c>
      <c r="G18" s="337" t="n">
        <v>0</v>
      </c>
      <c r="H18" s="337" t="n">
        <v>250</v>
      </c>
      <c r="I18" s="317" t="n"/>
      <c r="J18" s="337" t="n"/>
      <c r="K18" s="337" t="n"/>
    </row>
    <row r="19" ht="21" customHeight="1" s="290">
      <c r="A19" s="370" t="n"/>
      <c r="B19" s="370" t="inlineStr">
        <is>
          <t>WHO Drinking Water Standards</t>
        </is>
      </c>
      <c r="C19" s="370" t="inlineStr">
        <is>
          <t>WHO, 2015 rev 12B</t>
        </is>
      </c>
      <c r="D19" s="370" t="inlineStr">
        <is>
          <t>Drinking Water</t>
        </is>
      </c>
      <c r="E19" s="390" t="inlineStr">
        <is>
          <t>Temperature</t>
        </is>
      </c>
      <c r="F19" s="359" t="inlineStr">
        <is>
          <t>Temp</t>
        </is>
      </c>
      <c r="G19" s="337" t="n">
        <v>20</v>
      </c>
      <c r="H19" s="337" t="n">
        <v>28</v>
      </c>
      <c r="I19" s="317" t="n"/>
      <c r="J19" s="337" t="n"/>
      <c r="K19" s="337" t="n"/>
    </row>
    <row r="20" ht="21" customHeight="1" s="290">
      <c r="A20" s="370" t="n"/>
      <c r="B20" s="370" t="inlineStr">
        <is>
          <t>WHO Drinking Water Standards</t>
        </is>
      </c>
      <c r="C20" s="370" t="inlineStr">
        <is>
          <t>WHO, 2015 rev 12B</t>
        </is>
      </c>
      <c r="D20" s="370" t="inlineStr">
        <is>
          <t>Drinking Water</t>
        </is>
      </c>
      <c r="E20" s="390" t="inlineStr">
        <is>
          <t>Total Coliforms</t>
        </is>
      </c>
      <c r="F20" s="359" t="inlineStr">
        <is>
          <t>TotalColoforms</t>
        </is>
      </c>
      <c r="G20" s="337" t="n">
        <v>0</v>
      </c>
      <c r="H20" s="337" t="n">
        <v>0</v>
      </c>
      <c r="I20" s="317" t="n"/>
      <c r="J20" s="337" t="n"/>
      <c r="K20" s="337" t="n"/>
    </row>
    <row r="21" ht="21" customHeight="1" s="290">
      <c r="A21" s="370" t="n"/>
      <c r="B21" s="370" t="inlineStr">
        <is>
          <t>WHO Drinking Water Standards</t>
        </is>
      </c>
      <c r="C21" s="370" t="inlineStr">
        <is>
          <t>WHO, 2015 rev 12B</t>
        </is>
      </c>
      <c r="D21" s="370" t="inlineStr">
        <is>
          <t>Drinking Water</t>
        </is>
      </c>
      <c r="E21" s="390" t="inlineStr">
        <is>
          <t>Total Dissolved Salts</t>
        </is>
      </c>
      <c r="F21" s="359" t="inlineStr">
        <is>
          <t>TDS</t>
        </is>
      </c>
      <c r="G21" s="337" t="n">
        <v>0</v>
      </c>
      <c r="H21" s="337" t="n">
        <v>500</v>
      </c>
      <c r="I21" s="317" t="n"/>
      <c r="J21" s="337" t="n"/>
      <c r="K21" s="337" t="n"/>
    </row>
    <row r="22" ht="21" customHeight="1" s="290">
      <c r="A22" s="370" t="n"/>
      <c r="B22" s="370" t="inlineStr">
        <is>
          <t>WHO Drinking Water Standards</t>
        </is>
      </c>
      <c r="C22" s="370" t="inlineStr">
        <is>
          <t>WHO, 2015 rev 12B</t>
        </is>
      </c>
      <c r="D22" s="370" t="inlineStr">
        <is>
          <t>Drinking Water</t>
        </is>
      </c>
      <c r="E22" s="390" t="inlineStr">
        <is>
          <t>Turbidity</t>
        </is>
      </c>
      <c r="F22" s="359" t="inlineStr">
        <is>
          <t>Turbidity</t>
        </is>
      </c>
      <c r="G22" s="337" t="n">
        <v>0</v>
      </c>
      <c r="H22" s="337" t="n">
        <v>20</v>
      </c>
      <c r="I22" s="317" t="n"/>
      <c r="J22" s="337" t="n"/>
      <c r="K22" s="337" t="n"/>
    </row>
  </sheetData>
  <mergeCells count="3">
    <mergeCell ref="G2:H2"/>
    <mergeCell ref="E2:F2"/>
    <mergeCell ref="I2:J3"/>
  </mergeCells>
  <conditionalFormatting sqref="F4:F22">
    <cfRule type="expression" rank="0" priority="2" equalAverage="0" aboveAverage="0" dxfId="0" text="" percent="0" bottom="0">
      <formula>NOT(COUNTIF(INDIRECT("Analysis Services!"&amp;"F$4:F"),F4)&gt;0)*NOT(ISBLANK(F4))</formula>
    </cfRule>
  </conditionalFormatting>
  <conditionalFormatting sqref="E4:E22">
    <cfRule type="expression" rank="0" priority="3" equalAverage="0" aboveAverage="0" dxfId="0" text="" percent="0" bottom="0">
      <formula>NOT(COUNTIF(INDIRECT("Analysis Services!"&amp;"C$4:C"),E4)&gt;0)*NOT(ISBLANK(E4))</formula>
    </cfRule>
  </conditionalFormatting>
  <conditionalFormatting sqref="D4:D22">
    <cfRule type="expression" rank="0" priority="4" equalAverage="0" aboveAverage="0" dxfId="0" text="" percent="0" bottom="0">
      <formula>NOT(COUNTIF(INDIRECT("Sample Types!"&amp;"A$4:A"),D4)&gt;0)*NOT(ISBLANK(D4))</formula>
    </cfRule>
  </conditionalFormatting>
  <conditionalFormatting sqref="A4:A22">
    <cfRule type="expression" rank="0" priority="5" equalAverage="0" aboveAverage="0" dxfId="2" text="" percent="0" bottom="0">
      <formula>NOT(COUNTIF(INDIRECT("Clients!"&amp;"A$4:A"),A4)&gt;0)*NOT(ISBLANK(A4))</formula>
    </cfRule>
  </conditionalFormatting>
  <conditionalFormatting sqref="A1:K1">
    <cfRule type="expression" rank="0" priority="6" equalAverage="0" aboveAverage="0" dxfId="0" text="" percent="0" bottom="0">
      <formula>LEN(TRIM(A1))=0</formula>
    </cfRule>
  </conditionalFormatting>
  <dataValidations count="5">
    <dataValidation sqref="A4:A22" showDropDown="0" showInputMessage="1" showErrorMessage="1" allowBlank="1" prompt="Select a Client if the Profile belongs to a specific Client - Leave this field blank if it is a general 'lab' profile that can be used by all clients.  The Client list used in the selection list is maintained on the 'Clients' sheet" type="list" errorStyle="stop" operator="equal">
      <formula1>Clients!$A$4:$A22</formula1>
      <formula2>0</formula2>
    </dataValidation>
    <dataValidation sqref="D4:D22" showDropDown="0" showInputMessage="1" showErrorMessage="1" allowBlank="1" prompt="Select a Sample Type or Product - Please select a valid  Sample Type from the list. The list is maintained on the 'Sample Types' sheet." type="list" errorStyle="stop" operator="equal">
      <formula1>'Sample Types'!$A$4:$A22</formula1>
      <formula2>0</formula2>
    </dataValidation>
    <dataValidation sqref="E4:E22" showDropDown="0" showInputMessage="0" showErrorMessage="1" allowBlank="1" type="list" errorStyle="stop" operator="equal">
      <formula1>'Analysis Services'!$C$4:$C22</formula1>
      <formula2>0</formula2>
    </dataValidation>
    <dataValidation sqref="F4:F22" showDropDown="0" showInputMessage="0" showErrorMessage="1" allowBlank="1" type="list" errorStyle="stop" operator="equal">
      <formula1>'Analysis Services'!$F$4:$F22</formula1>
      <formula2>0</formula2>
    </dataValidation>
    <dataValidation sqref="G4:H22" showDropDown="0" showInputMessage="0" showErrorMessage="0" allowBlank="1" type="decimal" errorStyle="stop" operator="between">
      <formula1>-99999999</formula1>
      <formula2>99999999</formula2>
    </dataValidation>
  </dataValidation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tabColor rgb="FFFF0000"/>
    <outlinePr summaryBelow="1" summaryRight="1"/>
    <pageSetUpPr fitToPage="0"/>
  </sheetPr>
  <dimension ref="A1:I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7" activeCellId="1" sqref="AA:AA D7"/>
    </sheetView>
  </sheetViews>
  <sheetFormatPr baseColWidth="8" defaultColWidth="10.16015625" defaultRowHeight="15" zeroHeight="0" outlineLevelRow="0"/>
  <cols>
    <col width="22.81" customWidth="1" style="289" min="1" max="1"/>
    <col width="42.7" customWidth="1" style="289" min="2" max="2"/>
    <col width="32.37" customWidth="1" style="289" min="3" max="3"/>
    <col width="40.06" customWidth="1" style="289" min="4" max="4"/>
    <col width="11.47" customWidth="1" style="289" min="5" max="5"/>
    <col width="11.21" customWidth="1" style="289" min="6" max="7"/>
    <col width="14.88" customWidth="1" style="289" min="8" max="8"/>
    <col width="23.18" customWidth="1" style="289" min="9" max="9"/>
    <col width="12.72" customWidth="1" style="289" min="10" max="1024"/>
  </cols>
  <sheetData>
    <row r="1" ht="24.75" customHeight="1" s="290">
      <c r="A1" s="529" t="inlineStr">
        <is>
          <t>Client_title</t>
        </is>
      </c>
      <c r="B1" s="529" t="inlineStr">
        <is>
          <t>title</t>
        </is>
      </c>
      <c r="C1" s="433" t="inlineStr">
        <is>
          <t>description</t>
        </is>
      </c>
      <c r="D1" s="433" t="inlineStr">
        <is>
          <t>ProfileKey</t>
        </is>
      </c>
      <c r="E1" s="363" t="inlineStr">
        <is>
          <t>CostCode</t>
        </is>
      </c>
      <c r="F1" s="530" t="inlineStr">
        <is>
          <t>UseAnalysisProfilePrice</t>
        </is>
      </c>
      <c r="G1" s="530" t="inlineStr">
        <is>
          <t>Price</t>
        </is>
      </c>
      <c r="H1" s="531" t="inlineStr">
        <is>
          <t>VAT</t>
        </is>
      </c>
      <c r="I1" s="531" t="n"/>
    </row>
    <row r="2" ht="37.5" customHeight="1" s="290">
      <c r="A2" s="325">
        <f>HYPERLINK("https://www.bikalims.org/manual/8-analysis-templates/index_html","Analysis Profiles")</f>
        <v/>
      </c>
      <c r="B2" s="374" t="n"/>
      <c r="C2" s="374" t="inlineStr">
        <is>
          <t>Panels of Tests frequently ordered together</t>
        </is>
      </c>
      <c r="D2" s="532" t="n"/>
      <c r="E2" s="533" t="n"/>
      <c r="F2" s="329" t="n"/>
      <c r="G2" s="329" t="n"/>
      <c r="H2" s="534" t="n"/>
      <c r="I2" s="307">
        <f>HYPERLINK("https://www.bikalabs.com","Creative Commons BYSA
Bika Lab Systems")</f>
        <v/>
      </c>
    </row>
    <row r="3" ht="35.25" customHeight="1" s="290">
      <c r="A3" s="376" t="inlineStr">
        <is>
          <t>Client</t>
        </is>
      </c>
      <c r="B3" s="376" t="inlineStr">
        <is>
          <t>⭐ Title</t>
        </is>
      </c>
      <c r="C3" s="376" t="inlineStr">
        <is>
          <t>Description</t>
        </is>
      </c>
      <c r="D3" s="376" t="inlineStr">
        <is>
          <t>⭐ Keyword</t>
        </is>
      </c>
      <c r="E3" s="376" t="inlineStr">
        <is>
          <t>Cost code</t>
        </is>
      </c>
      <c r="F3" s="376" t="inlineStr">
        <is>
          <t>Use Profile Price</t>
        </is>
      </c>
      <c r="G3" s="376" t="inlineStr">
        <is>
          <t>Price</t>
        </is>
      </c>
      <c r="H3" s="376" t="inlineStr">
        <is>
          <t>VAT %</t>
        </is>
      </c>
      <c r="I3" s="349" t="n"/>
    </row>
    <row r="4" ht="18" customHeight="1" s="290">
      <c r="A4" s="370" t="inlineStr">
        <is>
          <t>Raka</t>
        </is>
      </c>
      <c r="B4" s="338" t="inlineStr">
        <is>
          <t>Borehole Water</t>
        </is>
      </c>
      <c r="C4" s="338" t="n"/>
      <c r="D4" s="338" t="inlineStr">
        <is>
          <t>BoreholeWater</t>
        </is>
      </c>
      <c r="E4" s="535" t="n"/>
      <c r="F4" s="536" t="inlineStr">
        <is>
          <t>TRUE</t>
        </is>
      </c>
      <c r="G4" s="536" t="inlineStr">
        <is>
          <t>125</t>
        </is>
      </c>
      <c r="H4" s="537" t="n">
        <v>15</v>
      </c>
      <c r="I4" s="537" t="n"/>
    </row>
    <row r="5" ht="18" customHeight="1" s="290">
      <c r="A5" s="370" t="n"/>
      <c r="B5" s="338" t="inlineStr">
        <is>
          <t>Drinking Water</t>
        </is>
      </c>
      <c r="C5" s="538" t="n"/>
      <c r="D5" s="338" t="inlineStr">
        <is>
          <t>DrinkingWaterstandard</t>
        </is>
      </c>
      <c r="E5" s="535" t="n"/>
      <c r="F5" s="536" t="inlineStr">
        <is>
          <t>TRUE</t>
        </is>
      </c>
      <c r="G5" s="536" t="inlineStr">
        <is>
          <t>125</t>
        </is>
      </c>
      <c r="H5" s="537" t="n">
        <v>15</v>
      </c>
      <c r="I5" s="537" t="n"/>
    </row>
  </sheetData>
  <conditionalFormatting sqref="A4:A5">
    <cfRule type="expression" rank="0" priority="2" equalAverage="0" aboveAverage="0" dxfId="2" text="" percent="0" bottom="0">
      <formula>NOT(COUNTIF(INDIRECT("Clients!"&amp;"A$4:A"),A4)&gt;0)*NOT(ISBLANK(A4))</formula>
    </cfRule>
  </conditionalFormatting>
  <conditionalFormatting sqref="A1:I1">
    <cfRule type="expression" rank="0" priority="3" equalAverage="0" aboveAverage="0" dxfId="0" text="" percent="0" bottom="0">
      <formula>LEN(TRIM(A1))=0</formula>
    </cfRule>
  </conditionalFormatting>
  <dataValidations count="1">
    <dataValidation sqref="A4:A5" showDropDown="0" showInputMessage="1" showErrorMessage="1" allowBlank="1" prompt="Select a Client if the Profile belongs to a specific Client - Leave this field blank if it is a general 'lab' profile that can be used by all clients.  The Client list used in the selection list is maintained on the 'Clients' sheet" type="list" errorStyle="stop" operator="equal">
      <formula1>Clients!$A$4:$A5</formula1>
      <formula2>0</formula2>
    </dataValidation>
  </dataValidation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tabColor rgb="FFFFFF00"/>
    <outlinePr summaryBelow="1" summaryRight="1"/>
    <pageSetUpPr fitToPage="0"/>
  </sheetPr>
  <dimension ref="A1:D3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1.3" customWidth="1" style="289" min="1" max="1"/>
    <col width="20.79" customWidth="1" style="289" min="2" max="2"/>
    <col width="24.69" customWidth="1" style="289" min="3" max="3"/>
    <col width="24.32" customWidth="1" style="289" min="4" max="4"/>
    <col width="12.72" customWidth="1" style="289" min="5" max="1024"/>
  </cols>
  <sheetData>
    <row r="1" ht="24.75" customHeight="1" s="290">
      <c r="A1" s="363" t="inlineStr">
        <is>
          <t>Profile</t>
        </is>
      </c>
      <c r="B1" s="363" t="inlineStr">
        <is>
          <t>Service</t>
        </is>
      </c>
      <c r="C1" s="303" t="inlineStr">
        <is>
          <t>keyword</t>
        </is>
      </c>
      <c r="D1" s="303" t="n"/>
    </row>
    <row r="2" ht="37.5" customHeight="1" s="290">
      <c r="A2" s="325">
        <f>HYPERLINK("https://www.bikalims.org/manual/8-analysis-templates/index_html","Analysis Profile Services")</f>
        <v/>
      </c>
      <c r="B2" s="327" t="n"/>
      <c r="C2" s="329" t="n"/>
      <c r="D2" s="307">
        <f>HYPERLINK("https://www.bikalabs.com","Creative Commons BYSA
Bika Lab Systems")</f>
        <v/>
      </c>
    </row>
    <row r="3" ht="24" customHeight="1" s="290">
      <c r="A3" s="356" t="inlineStr">
        <is>
          <t>⭐ Profile</t>
        </is>
      </c>
      <c r="B3" s="356" t="inlineStr">
        <is>
          <t>⭐ AS Title</t>
        </is>
      </c>
      <c r="C3" s="356" t="inlineStr">
        <is>
          <t>AS Keyword</t>
        </is>
      </c>
      <c r="D3" s="310" t="n"/>
    </row>
    <row r="4" ht="21" customHeight="1" s="290">
      <c r="A4" s="338" t="inlineStr">
        <is>
          <t>Borehole Water</t>
        </is>
      </c>
      <c r="B4" s="390" t="inlineStr">
        <is>
          <t>Alkalinity</t>
        </is>
      </c>
      <c r="C4" s="359" t="inlineStr">
        <is>
          <t>Alkalinity</t>
        </is>
      </c>
      <c r="D4" s="337" t="n"/>
    </row>
    <row r="5" ht="21" customHeight="1" s="290">
      <c r="A5" s="338" t="inlineStr">
        <is>
          <t>Borehole Water</t>
        </is>
      </c>
      <c r="B5" s="390" t="inlineStr">
        <is>
          <t>Aluminium</t>
        </is>
      </c>
      <c r="C5" s="359" t="inlineStr">
        <is>
          <t>Aluminium</t>
        </is>
      </c>
      <c r="D5" s="337" t="n"/>
    </row>
    <row r="6" ht="21" customHeight="1" s="290">
      <c r="A6" s="338" t="inlineStr">
        <is>
          <t>Borehole Water</t>
        </is>
      </c>
      <c r="B6" s="390" t="inlineStr">
        <is>
          <t>Calcium</t>
        </is>
      </c>
      <c r="C6" s="359" t="inlineStr">
        <is>
          <t>Calcium</t>
        </is>
      </c>
      <c r="D6" s="337" t="n"/>
    </row>
    <row r="7" ht="21" customHeight="1" s="290">
      <c r="A7" s="338" t="inlineStr">
        <is>
          <t>Borehole Water</t>
        </is>
      </c>
      <c r="B7" s="390" t="inlineStr">
        <is>
          <t>Chloride</t>
        </is>
      </c>
      <c r="C7" s="359" t="inlineStr">
        <is>
          <t>Chloride</t>
        </is>
      </c>
      <c r="D7" s="337" t="n"/>
    </row>
    <row r="8" ht="21" customHeight="1" s="290">
      <c r="A8" s="338" t="inlineStr">
        <is>
          <t>Borehole Water</t>
        </is>
      </c>
      <c r="B8" s="390" t="inlineStr">
        <is>
          <t>Conductivity</t>
        </is>
      </c>
      <c r="C8" s="359" t="inlineStr">
        <is>
          <t>EC</t>
        </is>
      </c>
      <c r="D8" s="337" t="n"/>
    </row>
    <row r="9" ht="21" customHeight="1" s="290">
      <c r="A9" s="338" t="inlineStr">
        <is>
          <t>Borehole Water</t>
        </is>
      </c>
      <c r="B9" s="390" t="inlineStr">
        <is>
          <t>Iron</t>
        </is>
      </c>
      <c r="C9" s="359" t="inlineStr">
        <is>
          <t>Fe</t>
        </is>
      </c>
      <c r="D9" s="337" t="n"/>
    </row>
    <row r="10" ht="21" customHeight="1" s="290">
      <c r="A10" s="338" t="inlineStr">
        <is>
          <t>Borehole Water</t>
        </is>
      </c>
      <c r="B10" s="390" t="inlineStr">
        <is>
          <t>Magnesium</t>
        </is>
      </c>
      <c r="C10" s="359" t="inlineStr">
        <is>
          <t>Magnesium</t>
        </is>
      </c>
      <c r="D10" s="337" t="n"/>
    </row>
    <row r="11" ht="21" customHeight="1" s="290">
      <c r="A11" s="338" t="inlineStr">
        <is>
          <t>Borehole Water</t>
        </is>
      </c>
      <c r="B11" s="390" t="inlineStr">
        <is>
          <t>Manganese</t>
        </is>
      </c>
      <c r="C11" s="359" t="inlineStr">
        <is>
          <t>Mn</t>
        </is>
      </c>
      <c r="D11" s="337" t="n"/>
    </row>
    <row r="12" ht="21" customHeight="1" s="290">
      <c r="A12" s="338" t="inlineStr">
        <is>
          <t>Borehole Water</t>
        </is>
      </c>
      <c r="B12" s="390" t="inlineStr">
        <is>
          <t>pH</t>
        </is>
      </c>
      <c r="C12" s="359" t="inlineStr">
        <is>
          <t>pH</t>
        </is>
      </c>
      <c r="D12" s="337" t="n"/>
    </row>
    <row r="13" ht="21" customHeight="1" s="290">
      <c r="A13" s="338" t="inlineStr">
        <is>
          <t>Borehole Water</t>
        </is>
      </c>
      <c r="B13" s="390" t="inlineStr">
        <is>
          <t>Sodium</t>
        </is>
      </c>
      <c r="C13" s="359" t="inlineStr">
        <is>
          <t>Sodium</t>
        </is>
      </c>
      <c r="D13" s="337" t="n"/>
    </row>
    <row r="14" ht="21" customHeight="1" s="290">
      <c r="A14" s="338" t="inlineStr">
        <is>
          <t>Borehole Water</t>
        </is>
      </c>
      <c r="B14" s="390" t="inlineStr">
        <is>
          <t>Sulphate</t>
        </is>
      </c>
      <c r="C14" s="359" t="inlineStr">
        <is>
          <t>Sulphate</t>
        </is>
      </c>
      <c r="D14" s="337" t="n"/>
    </row>
    <row r="15" ht="21" customHeight="1" s="290">
      <c r="A15" s="338" t="inlineStr">
        <is>
          <t>Borehole Water</t>
        </is>
      </c>
      <c r="B15" s="390" t="inlineStr">
        <is>
          <t>Total Dissolved Salts</t>
        </is>
      </c>
      <c r="C15" s="359" t="inlineStr">
        <is>
          <t>TDS</t>
        </is>
      </c>
      <c r="D15" s="337" t="n"/>
    </row>
    <row r="16" ht="21" customHeight="1" s="290">
      <c r="A16" s="338" t="inlineStr">
        <is>
          <t>Borehole Water</t>
        </is>
      </c>
      <c r="B16" s="390" t="inlineStr">
        <is>
          <t>Turbidity</t>
        </is>
      </c>
      <c r="C16" s="359" t="inlineStr">
        <is>
          <t>Turbidity</t>
        </is>
      </c>
      <c r="D16" s="337" t="n"/>
    </row>
    <row r="17" ht="21" customHeight="1" s="290">
      <c r="A17" s="539" t="inlineStr">
        <is>
          <t>Drinking Water</t>
        </is>
      </c>
      <c r="B17" s="540" t="inlineStr">
        <is>
          <t>Alkalinity</t>
        </is>
      </c>
      <c r="C17" s="541" t="inlineStr">
        <is>
          <t>Alkalinity</t>
        </is>
      </c>
      <c r="D17" s="542" t="n"/>
    </row>
    <row r="18" ht="21" customHeight="1" s="290">
      <c r="A18" s="338" t="inlineStr">
        <is>
          <t>Drinking Water</t>
        </is>
      </c>
      <c r="B18" s="390" t="inlineStr">
        <is>
          <t>Aluminium</t>
        </is>
      </c>
      <c r="C18" s="359" t="inlineStr">
        <is>
          <t>Aluminium</t>
        </is>
      </c>
      <c r="D18" s="337" t="n"/>
    </row>
    <row r="19" ht="21" customHeight="1" s="290">
      <c r="A19" s="338" t="inlineStr">
        <is>
          <t>Drinking Water</t>
        </is>
      </c>
      <c r="B19" s="390" t="inlineStr">
        <is>
          <t>Calcium</t>
        </is>
      </c>
      <c r="C19" s="359" t="inlineStr">
        <is>
          <t>Calcium</t>
        </is>
      </c>
      <c r="D19" s="337" t="n"/>
    </row>
    <row r="20" ht="21" customHeight="1" s="290">
      <c r="A20" s="338" t="inlineStr">
        <is>
          <t>Drinking Water</t>
        </is>
      </c>
      <c r="B20" s="390" t="inlineStr">
        <is>
          <t>Chloride</t>
        </is>
      </c>
      <c r="C20" s="359" t="inlineStr">
        <is>
          <t>Chloride</t>
        </is>
      </c>
      <c r="D20" s="337" t="n"/>
    </row>
    <row r="21" ht="21" customHeight="1" s="290">
      <c r="A21" s="338" t="inlineStr">
        <is>
          <t>Drinking Water</t>
        </is>
      </c>
      <c r="B21" s="390" t="inlineStr">
        <is>
          <t>Colour</t>
        </is>
      </c>
      <c r="C21" s="359" t="inlineStr">
        <is>
          <t>Colour</t>
        </is>
      </c>
      <c r="D21" s="337" t="n"/>
    </row>
    <row r="22" ht="21" customHeight="1" s="290">
      <c r="A22" s="338" t="inlineStr">
        <is>
          <t>Drinking Water</t>
        </is>
      </c>
      <c r="B22" s="390" t="inlineStr">
        <is>
          <t>Conductivity</t>
        </is>
      </c>
      <c r="C22" s="359" t="inlineStr">
        <is>
          <t>EC</t>
        </is>
      </c>
      <c r="D22" s="337" t="n"/>
    </row>
    <row r="23" ht="21" customHeight="1" s="290">
      <c r="A23" s="338" t="inlineStr">
        <is>
          <t>Drinking Water</t>
        </is>
      </c>
      <c r="B23" s="390" t="inlineStr">
        <is>
          <t>E.coli Detection</t>
        </is>
      </c>
      <c r="C23" s="359" t="inlineStr">
        <is>
          <t>Ecoli</t>
        </is>
      </c>
      <c r="D23" s="337" t="n"/>
    </row>
    <row r="24" ht="21" customHeight="1" s="290">
      <c r="A24" s="338" t="inlineStr">
        <is>
          <t>Drinking Water</t>
        </is>
      </c>
      <c r="B24" s="390" t="inlineStr">
        <is>
          <t>Free Chlorine</t>
        </is>
      </c>
      <c r="C24" s="359" t="inlineStr">
        <is>
          <t>FreeCl</t>
        </is>
      </c>
      <c r="D24" s="337" t="n"/>
    </row>
    <row r="25" ht="21" customHeight="1" s="290">
      <c r="A25" s="338" t="inlineStr">
        <is>
          <t>Drinking Water</t>
        </is>
      </c>
      <c r="B25" s="390" t="inlineStr">
        <is>
          <t>Heterotrophic Plate Count</t>
        </is>
      </c>
      <c r="C25" s="359" t="inlineStr">
        <is>
          <t>HPC</t>
        </is>
      </c>
      <c r="D25" s="337" t="n"/>
    </row>
    <row r="26" ht="21" customHeight="1" s="290">
      <c r="A26" s="338" t="inlineStr">
        <is>
          <t>Drinking Water</t>
        </is>
      </c>
      <c r="B26" s="390" t="inlineStr">
        <is>
          <t>Iron</t>
        </is>
      </c>
      <c r="C26" s="359" t="inlineStr">
        <is>
          <t>Fe</t>
        </is>
      </c>
      <c r="D26" s="337" t="n"/>
    </row>
    <row r="27" ht="21" customHeight="1" s="290">
      <c r="A27" s="338" t="inlineStr">
        <is>
          <t>Drinking Water</t>
        </is>
      </c>
      <c r="B27" s="390" t="inlineStr">
        <is>
          <t>Magnesium</t>
        </is>
      </c>
      <c r="C27" s="359" t="inlineStr">
        <is>
          <t>Magnesium</t>
        </is>
      </c>
      <c r="D27" s="337" t="n"/>
    </row>
    <row r="28" ht="21" customHeight="1" s="290">
      <c r="A28" s="338" t="inlineStr">
        <is>
          <t>Drinking Water</t>
        </is>
      </c>
      <c r="B28" s="390" t="inlineStr">
        <is>
          <t>Manganese</t>
        </is>
      </c>
      <c r="C28" s="359" t="inlineStr">
        <is>
          <t>Mn</t>
        </is>
      </c>
      <c r="D28" s="337" t="n"/>
    </row>
    <row r="29" ht="21" customHeight="1" s="290">
      <c r="A29" s="338" t="inlineStr">
        <is>
          <t>Drinking Water</t>
        </is>
      </c>
      <c r="B29" s="390" t="inlineStr">
        <is>
          <t>pH</t>
        </is>
      </c>
      <c r="C29" s="359" t="inlineStr">
        <is>
          <t>pH</t>
        </is>
      </c>
      <c r="D29" s="337" t="n"/>
    </row>
    <row r="30" ht="21" customHeight="1" s="290">
      <c r="A30" s="338" t="inlineStr">
        <is>
          <t>Drinking Water</t>
        </is>
      </c>
      <c r="B30" s="390" t="inlineStr">
        <is>
          <t>Sodium</t>
        </is>
      </c>
      <c r="C30" s="359" t="inlineStr">
        <is>
          <t>Sodium</t>
        </is>
      </c>
      <c r="D30" s="337" t="n"/>
    </row>
    <row r="31" ht="21" customHeight="1" s="290">
      <c r="A31" s="338" t="inlineStr">
        <is>
          <t>Drinking Water</t>
        </is>
      </c>
      <c r="B31" s="390" t="inlineStr">
        <is>
          <t>Sulphate</t>
        </is>
      </c>
      <c r="C31" s="359" t="inlineStr">
        <is>
          <t>Sulphate</t>
        </is>
      </c>
      <c r="D31" s="337" t="n"/>
    </row>
    <row r="32" ht="21" customHeight="1" s="290">
      <c r="A32" s="338" t="inlineStr">
        <is>
          <t>Drinking Water</t>
        </is>
      </c>
      <c r="B32" s="390" t="inlineStr">
        <is>
          <t>Temperature</t>
        </is>
      </c>
      <c r="C32" s="359" t="inlineStr">
        <is>
          <t>Temp</t>
        </is>
      </c>
      <c r="D32" s="337" t="n"/>
    </row>
    <row r="33" ht="21" customHeight="1" s="290">
      <c r="A33" s="338" t="inlineStr">
        <is>
          <t>Drinking Water</t>
        </is>
      </c>
      <c r="B33" s="390" t="inlineStr">
        <is>
          <t>Total Coliforms</t>
        </is>
      </c>
      <c r="C33" s="359" t="inlineStr">
        <is>
          <t>TotalColoforms</t>
        </is>
      </c>
      <c r="D33" s="337" t="n"/>
    </row>
    <row r="34" ht="21" customHeight="1" s="290">
      <c r="A34" s="338" t="inlineStr">
        <is>
          <t>Drinking Water</t>
        </is>
      </c>
      <c r="B34" s="390" t="inlineStr">
        <is>
          <t>Total Dissolved Salts</t>
        </is>
      </c>
      <c r="C34" s="359" t="inlineStr">
        <is>
          <t>TDS</t>
        </is>
      </c>
      <c r="D34" s="337" t="n"/>
    </row>
    <row r="35" ht="21" customHeight="1" s="290">
      <c r="A35" s="338" t="inlineStr">
        <is>
          <t>Drinking Water</t>
        </is>
      </c>
      <c r="B35" s="390" t="inlineStr">
        <is>
          <t>Turbidity</t>
        </is>
      </c>
      <c r="C35" s="359" t="inlineStr">
        <is>
          <t>Turbidity</t>
        </is>
      </c>
      <c r="D35" s="337" t="n"/>
    </row>
  </sheetData>
  <conditionalFormatting sqref="C4:C35">
    <cfRule type="expression" rank="0" priority="2" equalAverage="0" aboveAverage="0" dxfId="0" text="" percent="0" bottom="0">
      <formula>NOT(COUNTIF(INDIRECT("Analysis Services!"&amp;"F$4:F"),C4)&gt;0)*NOT(ISBLANK(C4))</formula>
    </cfRule>
  </conditionalFormatting>
  <conditionalFormatting sqref="B4:B35">
    <cfRule type="expression" rank="0" priority="3" equalAverage="0" aboveAverage="0" dxfId="0" text="" percent="0" bottom="0">
      <formula>NOT(COUNTIF(INDIRECT("Analysis Services!"&amp;"C$4:C"),B4)&gt;0)*NOT(ISBLANK(B4))</formula>
    </cfRule>
  </conditionalFormatting>
  <conditionalFormatting sqref="A1:D1">
    <cfRule type="expression" rank="0" priority="4" equalAverage="0" aboveAverage="0" dxfId="0" text="" percent="0" bottom="0">
      <formula>LEN(TRIM(A1))=0</formula>
    </cfRule>
  </conditionalFormatting>
  <dataValidations count="3">
    <dataValidation sqref="A4:A35" showDropDown="0" showInputMessage="0" showErrorMessage="1" allowBlank="1" type="list" errorStyle="stop" operator="equal">
      <formula1>'Analysis Profiles'!$B$4:$B35</formula1>
      <formula2>0</formula2>
    </dataValidation>
    <dataValidation sqref="B4:B35" showDropDown="0" showInputMessage="0" showErrorMessage="1" allowBlank="1" type="list" errorStyle="stop" operator="equal">
      <formula1>'Analysis Services'!$C$4:$C35</formula1>
      <formula2>0</formula2>
    </dataValidation>
    <dataValidation sqref="C4:C35" showDropDown="0" showInputMessage="0" showErrorMessage="1" allowBlank="1" type="list" errorStyle="stop" operator="equal">
      <formula1>'Analysis Services'!$F$4:$F35</formula1>
      <formula2>0</formula2>
    </dataValidation>
  </dataValidation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tabColor rgb="FFFFFF00"/>
    <outlinePr summaryBelow="1" summaryRight="1"/>
    <pageSetUpPr fitToPage="0"/>
  </sheetPr>
  <dimension ref="A1:C3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F12" activeCellId="1" sqref="AA:AA F12"/>
    </sheetView>
  </sheetViews>
  <sheetFormatPr baseColWidth="8" defaultColWidth="10.16015625" defaultRowHeight="13.8" zeroHeight="0" outlineLevelRow="0"/>
  <cols>
    <col width="21.3" customWidth="1" style="289" min="1" max="1"/>
    <col width="20.79" customWidth="1" style="289" min="2" max="2"/>
    <col width="24.32" customWidth="1" style="289" min="3" max="3"/>
    <col width="12.72" customWidth="1" style="289" min="4" max="1023"/>
  </cols>
  <sheetData>
    <row r="1" ht="24.75" customHeight="1" s="290">
      <c r="A1" s="363" t="inlineStr">
        <is>
          <t>Profile</t>
        </is>
      </c>
      <c r="B1" s="363" t="inlineStr">
        <is>
          <t>SampleType_title</t>
        </is>
      </c>
      <c r="C1" s="303" t="n"/>
    </row>
    <row r="2" ht="37.5" customHeight="1" s="290">
      <c r="A2" s="325">
        <f>HYPERLINK("https://www.bikalims.org/manual/8-analysis-templates/index_html","Analysis Profile Sample Types")</f>
        <v/>
      </c>
      <c r="B2" s="327" t="n"/>
      <c r="C2" s="307">
        <f>HYPERLINK("https://www.bikalabs.com","Creative Commons BYSA
Bika Lab Systems")</f>
        <v/>
      </c>
    </row>
    <row r="3" ht="24" customHeight="1" s="290">
      <c r="A3" s="356" t="inlineStr">
        <is>
          <t>⭐ Profile</t>
        </is>
      </c>
      <c r="B3" s="356" t="inlineStr">
        <is>
          <t>⭐ Sample Type Title</t>
        </is>
      </c>
      <c r="C3" s="310" t="n"/>
    </row>
    <row r="4" ht="21" customHeight="1" s="290">
      <c r="A4" s="338" t="n"/>
      <c r="B4" s="390" t="n"/>
      <c r="C4" s="337" t="n"/>
    </row>
    <row r="5" ht="21" customHeight="1" s="290">
      <c r="C5" s="337" t="n"/>
    </row>
    <row r="6" ht="21" customHeight="1" s="290">
      <c r="C6" s="337" t="n"/>
    </row>
    <row r="7" ht="21" customHeight="1" s="290">
      <c r="C7" s="337" t="n"/>
    </row>
    <row r="8" ht="21" customHeight="1" s="290">
      <c r="C8" s="337" t="n"/>
    </row>
    <row r="9" ht="21" customHeight="1" s="290">
      <c r="C9" s="337" t="n"/>
    </row>
    <row r="10" ht="21" customHeight="1" s="290">
      <c r="C10" s="337" t="n"/>
    </row>
    <row r="11" ht="21" customHeight="1" s="290">
      <c r="C11" s="337" t="n"/>
    </row>
    <row r="12" ht="21" customHeight="1" s="290">
      <c r="C12" s="337" t="n"/>
    </row>
    <row r="13" ht="21" customHeight="1" s="290">
      <c r="C13" s="337" t="n"/>
    </row>
    <row r="14" ht="21" customHeight="1" s="290">
      <c r="C14" s="337" t="n"/>
    </row>
    <row r="15" ht="21" customHeight="1" s="290">
      <c r="C15" s="337" t="n"/>
    </row>
    <row r="16" ht="21" customHeight="1" s="290">
      <c r="C16" s="542" t="n"/>
    </row>
    <row r="17" ht="21" customHeight="1" s="290">
      <c r="C17" s="337" t="n"/>
    </row>
    <row r="18" ht="21" customHeight="1" s="290">
      <c r="C18" s="337" t="n"/>
    </row>
    <row r="19" ht="21" customHeight="1" s="290">
      <c r="C19" s="337" t="n"/>
    </row>
    <row r="20" ht="21" customHeight="1" s="290">
      <c r="C20" s="337" t="n"/>
    </row>
    <row r="21" ht="21" customHeight="1" s="290">
      <c r="C21" s="337" t="n"/>
    </row>
    <row r="22" ht="21" customHeight="1" s="290">
      <c r="C22" s="337" t="n"/>
    </row>
    <row r="23" ht="21" customHeight="1" s="290">
      <c r="C23" s="337" t="n"/>
    </row>
    <row r="24" ht="21" customHeight="1" s="290">
      <c r="C24" s="337" t="n"/>
    </row>
    <row r="25" ht="21" customHeight="1" s="290">
      <c r="C25" s="337" t="n"/>
    </row>
    <row r="26" ht="21" customHeight="1" s="290">
      <c r="C26" s="337" t="n"/>
    </row>
    <row r="27" ht="21" customHeight="1" s="290">
      <c r="C27" s="337" t="n"/>
    </row>
    <row r="28" ht="21" customHeight="1" s="290">
      <c r="C28" s="337" t="n"/>
    </row>
    <row r="29" ht="21" customHeight="1" s="290">
      <c r="C29" s="337" t="n"/>
    </row>
    <row r="30" ht="21" customHeight="1" s="290">
      <c r="C30" s="337" t="n"/>
    </row>
    <row r="31" ht="21" customHeight="1" s="290">
      <c r="C31" s="337" t="n"/>
    </row>
    <row r="32" ht="21" customHeight="1" s="290">
      <c r="C32" s="337" t="n"/>
    </row>
    <row r="33" ht="21" customHeight="1" s="290">
      <c r="C33" s="337" t="n"/>
    </row>
    <row r="34" ht="21" customHeight="1" s="290">
      <c r="C34" s="337" t="n"/>
    </row>
    <row r="1048576" ht="12.8" customHeight="1" s="290"/>
  </sheetData>
  <conditionalFormatting sqref="B4">
    <cfRule type="expression" rank="0" priority="2" equalAverage="0" aboveAverage="0" dxfId="0" text="" percent="0" bottom="0">
      <formula>NOT(COUNTIF(INDIRECT("Analysis Services!"&amp;"C$4:C"),B4)&gt;0)*NOT(ISBLANK(B4))</formula>
    </cfRule>
  </conditionalFormatting>
  <conditionalFormatting sqref="A1:C1">
    <cfRule type="expression" rank="0" priority="3" equalAverage="0" aboveAverage="0" dxfId="0" text="" percent="0" bottom="0">
      <formula>LEN(TRIM(A1))=0</formula>
    </cfRule>
  </conditionalFormatting>
  <dataValidations count="2">
    <dataValidation sqref="A4" showDropDown="0" showInputMessage="0" showErrorMessage="1" allowBlank="1" type="list" errorStyle="stop" operator="equal">
      <formula1>'Analysis Profiles'!$B$4:$B35</formula1>
      <formula2>0</formula2>
    </dataValidation>
    <dataValidation sqref="B4" showDropDown="0" showInputMessage="0" showErrorMessage="1" allowBlank="1" type="list" errorStyle="stop" operator="equal">
      <formula1>'Sample Types'!$A$4:$A22</formula1>
      <formula2>0</formula2>
    </dataValidation>
  </dataValidation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tabColor rgb="FFCCCCCC"/>
    <outlinePr summaryBelow="1" summaryRight="1"/>
    <pageSetUpPr fitToPage="0"/>
  </sheetPr>
  <dimension ref="A1:G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1.54" customWidth="1" style="289" min="1" max="3"/>
    <col width="18.26" customWidth="1" style="289" min="4" max="5"/>
    <col width="20.91" customWidth="1" style="289" min="6" max="6"/>
    <col width="21.05" customWidth="1" style="289" min="7" max="7"/>
    <col width="12.72" customWidth="1" style="289" min="8" max="1024"/>
  </cols>
  <sheetData>
    <row r="1" hidden="1" ht="24.75" customHeight="1" s="290">
      <c r="A1" s="303" t="inlineStr">
        <is>
          <t>title</t>
        </is>
      </c>
      <c r="B1" s="303" t="inlineStr">
        <is>
          <t>Client_title</t>
        </is>
      </c>
      <c r="C1" s="303" t="inlineStr">
        <is>
          <t>description</t>
        </is>
      </c>
      <c r="D1" s="324" t="inlineStr">
        <is>
          <t>SampleType_title</t>
        </is>
      </c>
      <c r="E1" s="303" t="inlineStr">
        <is>
          <t>SamplePoint_title</t>
        </is>
      </c>
      <c r="F1" s="324" t="inlineStr">
        <is>
          <t>AnalysisProfile_title</t>
        </is>
      </c>
      <c r="G1" s="303" t="n"/>
    </row>
    <row r="2" ht="37.5" customHeight="1" s="290">
      <c r="A2" s="325">
        <f>HYPERLINK("https://www.bikalims.org/manual/8-analysis-templates/index_html","Sample Registration Templates")</f>
        <v/>
      </c>
      <c r="B2" s="329" t="n"/>
      <c r="C2" s="543" t="n"/>
      <c r="D2" s="543" t="inlineStr">
        <is>
          <t>Analysis Request forms</t>
        </is>
      </c>
      <c r="E2" s="439" t="n"/>
      <c r="F2" s="329" t="n"/>
      <c r="G2" s="307">
        <f>HYPERLINK("https://www.bikalabs.com","Creative Commons BYSA
Bika Lab Systems")</f>
        <v/>
      </c>
    </row>
    <row r="3" ht="24" customHeight="1" s="290">
      <c r="A3" s="356" t="inlineStr">
        <is>
          <t>⭐ Title</t>
        </is>
      </c>
      <c r="B3" s="356" t="inlineStr">
        <is>
          <t>Client</t>
        </is>
      </c>
      <c r="C3" s="356" t="inlineStr">
        <is>
          <t>Description</t>
        </is>
      </c>
      <c r="D3" s="356" t="inlineStr">
        <is>
          <t>Sample Type</t>
        </is>
      </c>
      <c r="E3" s="356" t="inlineStr">
        <is>
          <t>Sample Point</t>
        </is>
      </c>
      <c r="F3" s="356" t="inlineStr">
        <is>
          <t>Analysis Profile</t>
        </is>
      </c>
      <c r="G3" s="310" t="n"/>
    </row>
  </sheetData>
  <conditionalFormatting sqref="A1:G1">
    <cfRule type="expression" rank="0" priority="2" equalAverage="0" aboveAverage="0" dxfId="0" text="" percent="0" bottom="0">
      <formula>LEN(TRIM(A1))=0</formula>
    </cfRule>
  </conditionalFormatting>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filterMode="0">
    <tabColor rgb="FFD9D9D9"/>
    <outlinePr summaryBelow="1" summaryRight="1"/>
    <pageSetUpPr fitToPage="0"/>
  </sheetPr>
  <dimension ref="A1:E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5.95" customWidth="1" style="289" min="1" max="3"/>
    <col width="16.88" customWidth="1" style="289" min="4" max="4"/>
    <col width="19.41" customWidth="1" style="289" min="5" max="5"/>
    <col width="12.72" customWidth="1" style="289" min="6" max="1024"/>
  </cols>
  <sheetData>
    <row r="1" ht="24.75" customHeight="1" s="290">
      <c r="A1" s="303" t="inlineStr">
        <is>
          <t>ARTemplate</t>
        </is>
      </c>
      <c r="B1" s="303" t="inlineStr">
        <is>
          <t>service_uid</t>
        </is>
      </c>
      <c r="C1" s="303" t="inlineStr">
        <is>
          <t>keyword</t>
        </is>
      </c>
      <c r="D1" s="303" t="inlineStr">
        <is>
          <t>partition</t>
        </is>
      </c>
      <c r="E1" s="303" t="n"/>
    </row>
    <row r="2" ht="37.5" customHeight="1" s="290">
      <c r="A2" s="325">
        <f>HYPERLINK("https://www.bikalims.org/manual/8-analysis-templates/index_html","Sample Template Analyses")</f>
        <v/>
      </c>
      <c r="B2" s="329" t="n"/>
      <c r="C2" s="327" t="n"/>
      <c r="D2" s="439" t="n"/>
      <c r="E2" s="307">
        <f>HYPERLINK("https://www.bikalabs.com","Creative Commons BYSA
Bika Lab Systems")</f>
        <v/>
      </c>
    </row>
    <row r="3" ht="24" customHeight="1" s="290">
      <c r="A3" s="356" t="inlineStr">
        <is>
          <t>⭐ Template</t>
        </is>
      </c>
      <c r="B3" s="356" t="inlineStr">
        <is>
          <t>⭐ Analysis Service</t>
        </is>
      </c>
      <c r="C3" s="356" t="inlineStr">
        <is>
          <t>Keyword</t>
        </is>
      </c>
      <c r="D3" s="356" t="inlineStr">
        <is>
          <t>Partition</t>
        </is>
      </c>
      <c r="E3" s="412" t="n"/>
    </row>
  </sheetData>
  <conditionalFormatting sqref="A1:E1">
    <cfRule type="expression" rank="0" priority="2" equalAverage="0" aboveAverage="0" dxfId="0" text="" percent="0" bottom="0">
      <formula>LEN(TRIM(A1))=0</formula>
    </cfRule>
  </conditionalFormatting>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tabColor rgb="FFD9D9D9"/>
    <outlinePr summaryBelow="1" summaryRight="1"/>
    <pageSetUpPr fitToPage="0"/>
  </sheetPr>
  <dimension ref="A1:E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2.05" customWidth="1" style="289" min="1" max="4"/>
    <col width="23.69" customWidth="1" style="289" min="5" max="5"/>
    <col width="12.72" customWidth="1" style="289" min="6" max="1024"/>
  </cols>
  <sheetData>
    <row r="1" hidden="1" ht="24.75" customHeight="1" s="290">
      <c r="A1" s="303" t="inlineStr">
        <is>
          <t>ARTemplate</t>
        </is>
      </c>
      <c r="B1" s="303" t="inlineStr">
        <is>
          <t>part_id</t>
        </is>
      </c>
      <c r="C1" s="303" t="inlineStr">
        <is>
          <t>container</t>
        </is>
      </c>
      <c r="D1" s="324" t="inlineStr">
        <is>
          <t>preservation</t>
        </is>
      </c>
      <c r="E1" s="303" t="n"/>
    </row>
    <row r="2" ht="37.5" customHeight="1" s="290">
      <c r="A2" s="325">
        <f>HYPERLINK("https://www.bikalims.org/manual/8-analysis-templates/index_html","Sample Template Partitions")</f>
        <v/>
      </c>
      <c r="B2" s="329" t="n"/>
      <c r="C2" s="544" t="inlineStr">
        <is>
          <t>The different containers the Sample parts are collected in</t>
        </is>
      </c>
      <c r="E2" s="307">
        <f>HYPERLINK("https://www.bikalabs.com","Creative Commons BYSA
Bika Lab Systems")</f>
        <v/>
      </c>
    </row>
    <row r="3" ht="24" customHeight="1" s="290">
      <c r="A3" s="356" t="inlineStr">
        <is>
          <t>⭐ Template</t>
        </is>
      </c>
      <c r="B3" s="356" t="inlineStr">
        <is>
          <t>⭐ Partition</t>
        </is>
      </c>
      <c r="C3" s="356" t="inlineStr">
        <is>
          <t>Container</t>
        </is>
      </c>
      <c r="D3" s="356" t="inlineStr">
        <is>
          <t>Preservation</t>
        </is>
      </c>
      <c r="E3" s="310" t="n"/>
    </row>
  </sheetData>
  <mergeCells count="1">
    <mergeCell ref="C2:D2"/>
  </mergeCells>
  <conditionalFormatting sqref="A1:E1">
    <cfRule type="expression" rank="0" priority="2" equalAverage="0" aboveAverage="0" dxfId="0" text="" percent="0" bottom="0">
      <formula>LEN(TRIM(A1))=0</formula>
    </cfRule>
  </conditionalFormatting>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tabColor rgb="FFFFFF00"/>
    <outlinePr summaryBelow="1" summaryRight="1"/>
    <pageSetUpPr fitToPage="0"/>
  </sheetPr>
  <dimension ref="A1:J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1.17" customWidth="1" style="289" min="1" max="1"/>
    <col width="31.87" customWidth="1" style="289" min="2" max="2"/>
    <col width="17.26" customWidth="1" style="289" min="3" max="3"/>
    <col width="17.12" customWidth="1" style="289" min="4" max="4"/>
    <col width="18.52" customWidth="1" style="289" min="5" max="10"/>
    <col width="12.72" customWidth="1" style="289" min="11" max="1024"/>
  </cols>
  <sheetData>
    <row r="1" hidden="1" ht="20.25" customHeight="1" s="290">
      <c r="A1" s="363" t="inlineStr">
        <is>
          <t>title</t>
        </is>
      </c>
      <c r="B1" s="363" t="inlineStr">
        <is>
          <t>description</t>
        </is>
      </c>
      <c r="C1" s="303" t="inlineStr">
        <is>
          <t>Hazardous</t>
        </is>
      </c>
      <c r="D1" s="324" t="inlineStr">
        <is>
          <t>Blank</t>
        </is>
      </c>
      <c r="E1" s="303" t="n"/>
      <c r="F1" s="303" t="n"/>
      <c r="G1" s="303" t="n"/>
      <c r="H1" s="303" t="n"/>
      <c r="I1" s="303" t="n"/>
      <c r="J1" s="303" t="n"/>
    </row>
    <row r="2" ht="37.5" customHeight="1" s="290">
      <c r="A2" s="453">
        <f>HYPERLINK("https://www.bikalims.org/manual/qc/reference-definitions","Reference Definitions")</f>
        <v/>
      </c>
      <c r="B2" s="545" t="inlineStr">
        <is>
          <t>QC standards</t>
        </is>
      </c>
      <c r="C2" s="326" t="n"/>
      <c r="D2" s="327" t="n"/>
      <c r="E2" s="307">
        <f>HYPERLINK("https://www.bikalabs.com","Creative Commons BYSA
Bika Lab Systems")</f>
        <v/>
      </c>
      <c r="F2" s="366" t="n"/>
      <c r="G2" s="366" t="n"/>
      <c r="H2" s="366" t="n"/>
      <c r="I2" s="366" t="n"/>
      <c r="J2" s="366" t="n"/>
    </row>
    <row r="3" ht="24" customHeight="1" s="290">
      <c r="A3" s="335" t="inlineStr">
        <is>
          <t>⭐ Title</t>
        </is>
      </c>
      <c r="B3" s="335" t="inlineStr">
        <is>
          <t>Description</t>
        </is>
      </c>
      <c r="C3" s="334" t="inlineStr">
        <is>
          <t>Hazardous?  Y/N</t>
        </is>
      </c>
      <c r="D3" s="334" t="inlineStr">
        <is>
          <t>Blank?  Y/N</t>
        </is>
      </c>
      <c r="E3" s="349" t="n"/>
      <c r="F3" s="349" t="n"/>
      <c r="G3" s="349" t="n"/>
      <c r="H3" s="349" t="n"/>
      <c r="I3" s="349" t="n"/>
      <c r="J3" s="349" t="n"/>
    </row>
    <row r="4" ht="21" customHeight="1" s="290">
      <c r="A4" s="338" t="inlineStr">
        <is>
          <t>Distilled Water</t>
        </is>
      </c>
      <c r="B4" s="338" t="inlineStr">
        <is>
          <t>Distilled Water</t>
        </is>
      </c>
      <c r="C4" s="337" t="n">
        <v>0</v>
      </c>
      <c r="D4" s="337" t="n">
        <v>1</v>
      </c>
      <c r="E4" s="546" t="n"/>
      <c r="F4" s="546" t="n"/>
      <c r="G4" s="546" t="n"/>
      <c r="H4" s="546" t="n"/>
      <c r="I4" s="546" t="n"/>
      <c r="J4" s="546" t="n"/>
    </row>
    <row r="5" ht="21" customHeight="1" s="290">
      <c r="A5" s="317" t="inlineStr">
        <is>
          <t>Complete</t>
        </is>
      </c>
      <c r="B5" s="317" t="inlineStr">
        <is>
          <t>Full House</t>
        </is>
      </c>
      <c r="C5" s="337" t="n">
        <v>1</v>
      </c>
      <c r="D5" s="337" t="n">
        <v>0</v>
      </c>
      <c r="E5" s="546" t="n"/>
      <c r="F5" s="546" t="n"/>
      <c r="G5" s="546" t="n"/>
      <c r="H5" s="546" t="n"/>
      <c r="I5" s="546" t="n"/>
      <c r="J5" s="546" t="n"/>
    </row>
  </sheetData>
  <conditionalFormatting sqref="A1:J1">
    <cfRule type="expression" rank="0" priority="2" equalAverage="0" aboveAverage="0" dxfId="0" text="" percent="0" bottom="0">
      <formula>LEN(TRIM(A1))=0</formula>
    </cfRule>
  </conditionalFormatting>
  <dataValidations count="2">
    <dataValidation sqref="C4:D5" showDropDown="0" showInputMessage="0" showErrorMessage="1" allowBlank="1" type="list" errorStyle="stop" operator="equal">
      <formula1>"0,1"</formula1>
      <formula2>0</formula2>
    </dataValidation>
    <dataValidation sqref="E4:J5" showDropDown="0" showInputMessage="1" showErrorMessage="1" allowBlank="1" prompt="Please enter a date - After 1 Jan 2012. Expected format is YYYY/MM/DD" type="date" errorStyle="stop" operator="greaterThan">
      <formula1>#ref!/1/1</formula1>
      <formula2>0</formula2>
    </dataValidation>
  </dataValidation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42.xml><?xml version="1.0" encoding="utf-8"?>
<worksheet xmlns="http://schemas.openxmlformats.org/spreadsheetml/2006/main">
  <sheetPr filterMode="0">
    <tabColor rgb="FFFFFF00"/>
    <outlinePr summaryBelow="1" summaryRight="1"/>
    <pageSetUpPr fitToPage="0"/>
  </sheetPr>
  <dimension ref="A1:G3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6.08" customWidth="1" style="289" min="1" max="1"/>
    <col width="40.69" customWidth="1" style="289" min="2" max="2"/>
    <col width="23.93" customWidth="1" style="289" min="3" max="3"/>
    <col width="22.3" customWidth="1" style="289" min="4" max="4"/>
    <col width="14.88" customWidth="1" style="289" min="5" max="6"/>
    <col width="22.43" customWidth="1" style="289" min="7" max="7"/>
    <col width="12.72" customWidth="1" style="289" min="8" max="1024"/>
  </cols>
  <sheetData>
    <row r="1" hidden="1" ht="20.25" customHeight="1" s="290">
      <c r="A1" s="363" t="inlineStr">
        <is>
          <t>ReferenceDefinition_title</t>
        </is>
      </c>
      <c r="B1" s="363" t="inlineStr">
        <is>
          <t>service</t>
        </is>
      </c>
      <c r="C1" s="363" t="inlineStr">
        <is>
          <t>Keyword</t>
        </is>
      </c>
      <c r="D1" s="346" t="inlineStr">
        <is>
          <t>result</t>
        </is>
      </c>
      <c r="E1" s="547" t="inlineStr">
        <is>
          <t>min</t>
        </is>
      </c>
      <c r="F1" s="346" t="inlineStr">
        <is>
          <t>max</t>
        </is>
      </c>
      <c r="G1" s="303" t="n"/>
    </row>
    <row r="2" ht="37.5" customHeight="1" s="290">
      <c r="A2" s="453" t="inlineStr">
        <is>
          <t>Reference Definition results specifications</t>
        </is>
      </c>
      <c r="B2" s="453" t="n"/>
      <c r="C2" s="453" t="n"/>
      <c r="D2" s="548" t="n"/>
      <c r="E2" s="348" t="inlineStr">
        <is>
          <t>Valid Range</t>
        </is>
      </c>
      <c r="F2" s="332" t="n"/>
      <c r="G2" s="307">
        <f>HYPERLINK("https://www.bikalabs.com","Creative Commons BYSA
Bika Lab Systems")</f>
        <v/>
      </c>
    </row>
    <row r="3" ht="24" customHeight="1" s="290">
      <c r="A3" s="335" t="inlineStr">
        <is>
          <t>⭐ Reference Definition</t>
        </is>
      </c>
      <c r="B3" s="335" t="inlineStr">
        <is>
          <t>⭐ Analysis Service</t>
        </is>
      </c>
      <c r="C3" s="335" t="inlineStr">
        <is>
          <t>Keyword</t>
        </is>
      </c>
      <c r="D3" s="348" t="inlineStr">
        <is>
          <t>⭐ Result Specified</t>
        </is>
      </c>
      <c r="E3" s="348" t="inlineStr">
        <is>
          <t>⭐ Minimum</t>
        </is>
      </c>
      <c r="F3" s="348" t="inlineStr">
        <is>
          <t>⭐ Maximum</t>
        </is>
      </c>
      <c r="G3" s="349" t="n"/>
    </row>
    <row r="4" ht="21" customHeight="1" s="290">
      <c r="A4" s="338" t="inlineStr">
        <is>
          <t>Distilled Water</t>
        </is>
      </c>
      <c r="B4" s="390" t="inlineStr">
        <is>
          <t>Alkalinity</t>
        </is>
      </c>
      <c r="C4" s="359" t="inlineStr">
        <is>
          <t>Alkalinity</t>
        </is>
      </c>
      <c r="D4" s="549" t="n">
        <v>0</v>
      </c>
      <c r="E4" s="549" t="n">
        <v>0</v>
      </c>
      <c r="F4" s="550" t="n">
        <v>0.1</v>
      </c>
      <c r="G4" s="337" t="n"/>
    </row>
    <row r="5" ht="21" customHeight="1" s="290">
      <c r="A5" s="338" t="inlineStr">
        <is>
          <t>Distilled Water</t>
        </is>
      </c>
      <c r="B5" s="390" t="inlineStr">
        <is>
          <t>Aluminium</t>
        </is>
      </c>
      <c r="C5" s="359" t="inlineStr">
        <is>
          <t>Aluminium</t>
        </is>
      </c>
      <c r="D5" s="549" t="n">
        <v>0</v>
      </c>
      <c r="E5" s="549" t="n">
        <v>0</v>
      </c>
      <c r="F5" s="549" t="n">
        <v>0.01</v>
      </c>
      <c r="G5" s="337" t="n"/>
    </row>
    <row r="6" ht="21" customHeight="1" s="290">
      <c r="A6" s="338" t="inlineStr">
        <is>
          <t>Distilled Water</t>
        </is>
      </c>
      <c r="B6" s="390" t="inlineStr">
        <is>
          <t>Calcium</t>
        </is>
      </c>
      <c r="C6" s="359" t="inlineStr">
        <is>
          <t>Calcium</t>
        </is>
      </c>
      <c r="D6" s="549" t="n">
        <v>0</v>
      </c>
      <c r="E6" s="549" t="n">
        <v>0</v>
      </c>
      <c r="F6" s="549" t="n">
        <v>0.01</v>
      </c>
      <c r="G6" s="337" t="n"/>
    </row>
    <row r="7" ht="21" customHeight="1" s="290">
      <c r="A7" s="338" t="inlineStr">
        <is>
          <t>Distilled Water</t>
        </is>
      </c>
      <c r="B7" s="390" t="inlineStr">
        <is>
          <t>Chloride</t>
        </is>
      </c>
      <c r="C7" s="359" t="inlineStr">
        <is>
          <t>Chloride</t>
        </is>
      </c>
      <c r="D7" s="549" t="n">
        <v>0</v>
      </c>
      <c r="E7" s="549" t="n">
        <v>0</v>
      </c>
      <c r="F7" s="549" t="n">
        <v>0.1</v>
      </c>
      <c r="G7" s="337" t="n"/>
    </row>
    <row r="8" ht="21" customHeight="1" s="290">
      <c r="A8" s="338" t="inlineStr">
        <is>
          <t>Distilled Water</t>
        </is>
      </c>
      <c r="B8" s="390" t="inlineStr">
        <is>
          <t>Colour</t>
        </is>
      </c>
      <c r="C8" s="359" t="inlineStr">
        <is>
          <t>Colour</t>
        </is>
      </c>
      <c r="D8" s="337" t="n">
        <v>1</v>
      </c>
      <c r="E8" s="337" t="n">
        <v>1</v>
      </c>
      <c r="F8" s="337" t="n">
        <v>1</v>
      </c>
      <c r="G8" s="337" t="n"/>
    </row>
    <row r="9" ht="21" customHeight="1" s="290">
      <c r="A9" s="338" t="inlineStr">
        <is>
          <t>Distilled Water</t>
        </is>
      </c>
      <c r="B9" s="390" t="inlineStr">
        <is>
          <t>Conductivity</t>
        </is>
      </c>
      <c r="C9" s="359" t="inlineStr">
        <is>
          <t>EC</t>
        </is>
      </c>
      <c r="D9" s="549" t="n">
        <v>0</v>
      </c>
      <c r="E9" s="549" t="n">
        <v>0</v>
      </c>
      <c r="F9" s="549" t="n">
        <v>0.1</v>
      </c>
      <c r="G9" s="337" t="n"/>
    </row>
    <row r="10" ht="21" customHeight="1" s="290">
      <c r="A10" s="338" t="inlineStr">
        <is>
          <t>Distilled Water</t>
        </is>
      </c>
      <c r="B10" s="390" t="inlineStr">
        <is>
          <t>E.coli Detection</t>
        </is>
      </c>
      <c r="C10" s="359" t="inlineStr">
        <is>
          <t>Ecoli</t>
        </is>
      </c>
      <c r="D10" s="549" t="n">
        <v>0</v>
      </c>
      <c r="E10" s="549" t="n">
        <v>0</v>
      </c>
      <c r="F10" s="337" t="n">
        <v>0</v>
      </c>
      <c r="G10" s="337" t="n"/>
    </row>
    <row r="11" ht="21" customHeight="1" s="290">
      <c r="A11" s="338" t="inlineStr">
        <is>
          <t>Distilled Water</t>
        </is>
      </c>
      <c r="B11" s="390" t="inlineStr">
        <is>
          <t>Free Chlorine</t>
        </is>
      </c>
      <c r="C11" s="359" t="inlineStr">
        <is>
          <t>FreeCl</t>
        </is>
      </c>
      <c r="D11" s="549" t="n">
        <v>0</v>
      </c>
      <c r="E11" s="549" t="n">
        <v>0</v>
      </c>
      <c r="F11" s="549" t="n">
        <v>0.1</v>
      </c>
      <c r="G11" s="337" t="n"/>
    </row>
    <row r="12" ht="21" customHeight="1" s="290">
      <c r="A12" s="338" t="inlineStr">
        <is>
          <t>Distilled Water</t>
        </is>
      </c>
      <c r="B12" s="390" t="inlineStr">
        <is>
          <t>Heterotrophic Plate Count</t>
        </is>
      </c>
      <c r="C12" s="359" t="inlineStr">
        <is>
          <t>HPC</t>
        </is>
      </c>
      <c r="D12" s="549" t="n">
        <v>0</v>
      </c>
      <c r="E12" s="549" t="n">
        <v>0</v>
      </c>
      <c r="F12" s="337" t="n">
        <v>0</v>
      </c>
      <c r="G12" s="337" t="n"/>
    </row>
    <row r="13" ht="21" customHeight="1" s="290">
      <c r="A13" s="338" t="inlineStr">
        <is>
          <t>Distilled Water</t>
        </is>
      </c>
      <c r="B13" s="390" t="inlineStr">
        <is>
          <t>Iron</t>
        </is>
      </c>
      <c r="C13" s="359" t="inlineStr">
        <is>
          <t>Fe</t>
        </is>
      </c>
      <c r="D13" s="549" t="n">
        <v>0</v>
      </c>
      <c r="E13" s="549" t="n">
        <v>0</v>
      </c>
      <c r="F13" s="549" t="n">
        <v>0.01</v>
      </c>
      <c r="G13" s="337" t="n"/>
    </row>
    <row r="14" ht="21" customHeight="1" s="290">
      <c r="A14" s="338" t="inlineStr">
        <is>
          <t>Distilled Water</t>
        </is>
      </c>
      <c r="B14" s="390" t="inlineStr">
        <is>
          <t>Magnesium</t>
        </is>
      </c>
      <c r="C14" s="359" t="inlineStr">
        <is>
          <t>Magnesium</t>
        </is>
      </c>
      <c r="D14" s="549" t="n">
        <v>0</v>
      </c>
      <c r="E14" s="549" t="n">
        <v>0</v>
      </c>
      <c r="F14" s="549" t="n">
        <v>0.01</v>
      </c>
      <c r="G14" s="337" t="n"/>
    </row>
    <row r="15" ht="21" customHeight="1" s="290">
      <c r="A15" s="338" t="inlineStr">
        <is>
          <t>Distilled Water</t>
        </is>
      </c>
      <c r="B15" s="390" t="inlineStr">
        <is>
          <t>Manganese</t>
        </is>
      </c>
      <c r="C15" s="359" t="inlineStr">
        <is>
          <t>Mn</t>
        </is>
      </c>
      <c r="D15" s="549" t="n">
        <v>0</v>
      </c>
      <c r="E15" s="549" t="n">
        <v>0</v>
      </c>
      <c r="F15" s="549" t="n">
        <v>0.1</v>
      </c>
      <c r="G15" s="337" t="n"/>
    </row>
    <row r="16" ht="21" customHeight="1" s="290">
      <c r="A16" s="338" t="inlineStr">
        <is>
          <t>Distilled Water</t>
        </is>
      </c>
      <c r="B16" s="390" t="inlineStr">
        <is>
          <t>pH</t>
        </is>
      </c>
      <c r="C16" s="359" t="inlineStr">
        <is>
          <t>pH</t>
        </is>
      </c>
      <c r="D16" s="549" t="n">
        <v>7</v>
      </c>
      <c r="E16" s="549" t="n">
        <v>6.3</v>
      </c>
      <c r="F16" s="549" t="n">
        <v>7.7</v>
      </c>
      <c r="G16" s="337" t="n"/>
    </row>
    <row r="17" ht="21" customHeight="1" s="290">
      <c r="A17" s="338" t="inlineStr">
        <is>
          <t>Distilled Water</t>
        </is>
      </c>
      <c r="B17" s="390" t="inlineStr">
        <is>
          <t>Sodium</t>
        </is>
      </c>
      <c r="C17" s="359" t="inlineStr">
        <is>
          <t>Sodium</t>
        </is>
      </c>
      <c r="D17" s="549" t="n">
        <v>0</v>
      </c>
      <c r="E17" s="549" t="n">
        <v>0</v>
      </c>
      <c r="F17" s="549" t="n">
        <v>0.1</v>
      </c>
      <c r="G17" s="337" t="n"/>
    </row>
    <row r="18" ht="21" customHeight="1" s="290">
      <c r="A18" s="338" t="inlineStr">
        <is>
          <t>Distilled Water</t>
        </is>
      </c>
      <c r="B18" s="390" t="inlineStr">
        <is>
          <t>Sulphate</t>
        </is>
      </c>
      <c r="C18" s="359" t="inlineStr">
        <is>
          <t>Sulphate</t>
        </is>
      </c>
      <c r="D18" s="549" t="n">
        <v>0</v>
      </c>
      <c r="E18" s="549" t="n">
        <v>0</v>
      </c>
      <c r="F18" s="549" t="n">
        <v>0.1</v>
      </c>
      <c r="G18" s="337" t="n"/>
    </row>
    <row r="19" ht="21" customHeight="1" s="290">
      <c r="A19" s="338" t="inlineStr">
        <is>
          <t>Distilled Water</t>
        </is>
      </c>
      <c r="B19" s="390" t="inlineStr">
        <is>
          <t>Temperature</t>
        </is>
      </c>
      <c r="C19" s="359" t="inlineStr">
        <is>
          <t>Temp</t>
        </is>
      </c>
      <c r="D19" s="549" t="n">
        <v>0</v>
      </c>
      <c r="E19" s="549" t="n">
        <v>0</v>
      </c>
      <c r="F19" s="549" t="n">
        <v>0.01</v>
      </c>
      <c r="G19" s="337" t="n"/>
    </row>
    <row r="20" ht="21" customHeight="1" s="290">
      <c r="A20" s="338" t="inlineStr">
        <is>
          <t>Distilled Water</t>
        </is>
      </c>
      <c r="B20" s="390" t="inlineStr">
        <is>
          <t>Total Coliforms</t>
        </is>
      </c>
      <c r="C20" s="359" t="inlineStr">
        <is>
          <t>TotalColoforms</t>
        </is>
      </c>
      <c r="D20" s="549" t="n">
        <v>0</v>
      </c>
      <c r="E20" s="549" t="n">
        <v>0</v>
      </c>
      <c r="F20" s="337" t="n">
        <v>0</v>
      </c>
      <c r="G20" s="337" t="n"/>
    </row>
    <row r="21" ht="21" customHeight="1" s="290">
      <c r="A21" s="338" t="inlineStr">
        <is>
          <t>Distilled Water</t>
        </is>
      </c>
      <c r="B21" s="390" t="inlineStr">
        <is>
          <t>Total Dissolved Salts</t>
        </is>
      </c>
      <c r="C21" s="359" t="inlineStr">
        <is>
          <t>TDS</t>
        </is>
      </c>
      <c r="D21" s="549" t="n">
        <v>0</v>
      </c>
      <c r="E21" s="549" t="n">
        <v>0</v>
      </c>
      <c r="F21" s="549" t="n">
        <v>0.1</v>
      </c>
      <c r="G21" s="337" t="n"/>
    </row>
    <row r="22" ht="21" customHeight="1" s="290">
      <c r="A22" s="338" t="inlineStr">
        <is>
          <t>Distilled Water</t>
        </is>
      </c>
      <c r="B22" s="390" t="inlineStr">
        <is>
          <t>Turbidity</t>
        </is>
      </c>
      <c r="C22" s="359" t="inlineStr">
        <is>
          <t>Turbidity</t>
        </is>
      </c>
      <c r="D22" s="549" t="n">
        <v>0</v>
      </c>
      <c r="E22" s="549" t="n">
        <v>0</v>
      </c>
      <c r="F22" s="549" t="n">
        <v>0.01</v>
      </c>
      <c r="G22" s="337" t="n"/>
    </row>
    <row r="23" ht="21" customHeight="1" s="290">
      <c r="A23" s="551" t="inlineStr">
        <is>
          <t>Complete</t>
        </is>
      </c>
      <c r="B23" s="552" t="inlineStr">
        <is>
          <t>Alkalinity</t>
        </is>
      </c>
      <c r="C23" s="551" t="inlineStr">
        <is>
          <t>Alkalinity</t>
        </is>
      </c>
      <c r="D23" s="553" t="n">
        <v>25</v>
      </c>
      <c r="E23" s="553" t="n">
        <v>22.5</v>
      </c>
      <c r="F23" s="553" t="n">
        <v>27.5</v>
      </c>
      <c r="G23" s="553" t="n"/>
    </row>
    <row r="24" ht="21" customHeight="1" s="290">
      <c r="A24" s="317" t="inlineStr">
        <is>
          <t>Complete</t>
        </is>
      </c>
      <c r="B24" s="390" t="inlineStr">
        <is>
          <t>Aluminium</t>
        </is>
      </c>
      <c r="C24" s="359" t="inlineStr">
        <is>
          <t>Aluminium</t>
        </is>
      </c>
      <c r="D24" s="360" t="n">
        <v>0.05</v>
      </c>
      <c r="E24" s="360" t="n">
        <v>0.045</v>
      </c>
      <c r="F24" s="360" t="n">
        <v>0.055</v>
      </c>
      <c r="G24" s="337" t="n"/>
    </row>
    <row r="25" ht="21" customHeight="1" s="290">
      <c r="A25" s="317" t="inlineStr">
        <is>
          <t>Complete</t>
        </is>
      </c>
      <c r="B25" s="390" t="inlineStr">
        <is>
          <t>Calcium</t>
        </is>
      </c>
      <c r="C25" s="359" t="inlineStr">
        <is>
          <t>Calcium</t>
        </is>
      </c>
      <c r="D25" s="360" t="n">
        <v>2.5</v>
      </c>
      <c r="E25" s="360" t="n">
        <v>2.25</v>
      </c>
      <c r="F25" s="360" t="n">
        <v>2.75</v>
      </c>
      <c r="G25" s="337" t="n"/>
    </row>
    <row r="26" ht="21" customHeight="1" s="290">
      <c r="A26" s="317" t="inlineStr">
        <is>
          <t>Complete</t>
        </is>
      </c>
      <c r="B26" s="390" t="inlineStr">
        <is>
          <t>Chloride</t>
        </is>
      </c>
      <c r="C26" s="359" t="inlineStr">
        <is>
          <t>Chloride</t>
        </is>
      </c>
      <c r="D26" s="360" t="n">
        <v>62.5</v>
      </c>
      <c r="E26" s="360" t="n">
        <v>56.25</v>
      </c>
      <c r="F26" s="360" t="n">
        <v>68.75</v>
      </c>
      <c r="G26" s="337" t="n"/>
    </row>
    <row r="27" ht="21" customHeight="1" s="290">
      <c r="A27" s="317" t="inlineStr">
        <is>
          <t>Complete</t>
        </is>
      </c>
      <c r="B27" s="390" t="inlineStr">
        <is>
          <t>Conductivity</t>
        </is>
      </c>
      <c r="C27" s="359" t="inlineStr">
        <is>
          <t>EC</t>
        </is>
      </c>
      <c r="D27" s="360" t="n">
        <v>100</v>
      </c>
      <c r="E27" s="360" t="n">
        <v>90</v>
      </c>
      <c r="F27" s="360" t="n">
        <v>110</v>
      </c>
      <c r="G27" s="337" t="n"/>
    </row>
    <row r="28" ht="21" customHeight="1" s="290">
      <c r="A28" s="317" t="inlineStr">
        <is>
          <t>Complete</t>
        </is>
      </c>
      <c r="B28" s="390" t="inlineStr">
        <is>
          <t>Free Chlorine</t>
        </is>
      </c>
      <c r="C28" s="359" t="inlineStr">
        <is>
          <t>FreeCl</t>
        </is>
      </c>
      <c r="D28" s="360" t="n">
        <v>62.5</v>
      </c>
      <c r="E28" s="360" t="n">
        <v>56.25</v>
      </c>
      <c r="F28" s="360" t="n">
        <v>68.75</v>
      </c>
      <c r="G28" s="337" t="n"/>
    </row>
    <row r="29" ht="21" customHeight="1" s="290">
      <c r="A29" s="317" t="inlineStr">
        <is>
          <t>Complete</t>
        </is>
      </c>
      <c r="B29" s="390" t="inlineStr">
        <is>
          <t>Iron</t>
        </is>
      </c>
      <c r="C29" s="359" t="inlineStr">
        <is>
          <t>Fe</t>
        </is>
      </c>
      <c r="D29" s="360" t="n">
        <v>0.005</v>
      </c>
      <c r="E29" s="360" t="n">
        <v>0.0045</v>
      </c>
      <c r="F29" s="360" t="n">
        <v>0.0055</v>
      </c>
      <c r="G29" s="337" t="n"/>
    </row>
    <row r="30" ht="21" customHeight="1" s="290">
      <c r="A30" s="317" t="inlineStr">
        <is>
          <t>Complete</t>
        </is>
      </c>
      <c r="B30" s="390" t="inlineStr">
        <is>
          <t>Magnesium</t>
        </is>
      </c>
      <c r="C30" s="390" t="inlineStr">
        <is>
          <t>Magnesium</t>
        </is>
      </c>
      <c r="D30" s="360" t="n">
        <v>2.5</v>
      </c>
      <c r="E30" s="360" t="n">
        <v>2.25</v>
      </c>
      <c r="F30" s="360" t="n">
        <v>2.75</v>
      </c>
      <c r="G30" s="337" t="n"/>
    </row>
    <row r="31" ht="21" customHeight="1" s="290">
      <c r="A31" s="317" t="inlineStr">
        <is>
          <t>Complete</t>
        </is>
      </c>
      <c r="B31" s="390" t="inlineStr">
        <is>
          <t>Manganese</t>
        </is>
      </c>
      <c r="C31" s="390" t="inlineStr">
        <is>
          <t>Mn</t>
        </is>
      </c>
      <c r="D31" s="360" t="n">
        <v>187.5</v>
      </c>
      <c r="E31" s="360" t="n">
        <v>168.75</v>
      </c>
      <c r="F31" s="360" t="n">
        <v>206.25</v>
      </c>
      <c r="G31" s="337" t="n"/>
    </row>
    <row r="32" ht="21" customHeight="1" s="290">
      <c r="A32" s="317" t="inlineStr">
        <is>
          <t>Complete</t>
        </is>
      </c>
      <c r="B32" s="390" t="inlineStr">
        <is>
          <t>pH</t>
        </is>
      </c>
      <c r="C32" s="359" t="inlineStr">
        <is>
          <t>pH</t>
        </is>
      </c>
      <c r="D32" s="360" t="n">
        <v>8.300000000000001</v>
      </c>
      <c r="E32" s="360" t="n">
        <v>7.47</v>
      </c>
      <c r="F32" s="360" t="n">
        <v>0.913</v>
      </c>
      <c r="G32" s="337" t="n"/>
    </row>
    <row r="33" ht="21" customHeight="1" s="290">
      <c r="A33" s="317" t="inlineStr">
        <is>
          <t>Complete</t>
        </is>
      </c>
      <c r="B33" s="390" t="inlineStr">
        <is>
          <t>Sodium</t>
        </is>
      </c>
      <c r="C33" s="359" t="inlineStr">
        <is>
          <t>Sodium</t>
        </is>
      </c>
      <c r="D33" s="360" t="n">
        <v>100</v>
      </c>
      <c r="E33" s="360" t="n">
        <v>90</v>
      </c>
      <c r="F33" s="360" t="n">
        <v>110</v>
      </c>
      <c r="G33" s="337" t="n"/>
    </row>
    <row r="34" ht="21" customHeight="1" s="290">
      <c r="A34" s="317" t="inlineStr">
        <is>
          <t>Complete</t>
        </is>
      </c>
      <c r="B34" s="390" t="inlineStr">
        <is>
          <t>Sulphate</t>
        </is>
      </c>
      <c r="C34" s="359" t="inlineStr">
        <is>
          <t>Sulphate</t>
        </is>
      </c>
      <c r="D34" s="360" t="n">
        <v>62.5</v>
      </c>
      <c r="E34" s="360" t="n">
        <v>56.25</v>
      </c>
      <c r="F34" s="360" t="n">
        <v>68.75</v>
      </c>
      <c r="G34" s="337" t="n"/>
    </row>
    <row r="35" ht="21" customHeight="1" s="290">
      <c r="A35" s="317" t="inlineStr">
        <is>
          <t>Complete</t>
        </is>
      </c>
      <c r="B35" s="390" t="inlineStr">
        <is>
          <t>Temperature</t>
        </is>
      </c>
      <c r="C35" s="359" t="inlineStr">
        <is>
          <t>Temp</t>
        </is>
      </c>
      <c r="D35" s="360" t="n">
        <v>7</v>
      </c>
      <c r="E35" s="360" t="n">
        <v>6.3</v>
      </c>
      <c r="F35" s="360" t="n">
        <v>7.7</v>
      </c>
      <c r="G35" s="337" t="n"/>
    </row>
    <row r="36" ht="21" customHeight="1" s="290">
      <c r="A36" s="317" t="inlineStr">
        <is>
          <t>Complete</t>
        </is>
      </c>
      <c r="B36" s="390" t="inlineStr">
        <is>
          <t>Total Dissolved Salts</t>
        </is>
      </c>
      <c r="C36" s="359" t="inlineStr">
        <is>
          <t>TDS</t>
        </is>
      </c>
      <c r="D36" s="360" t="n">
        <v>125</v>
      </c>
      <c r="E36" s="360" t="n">
        <v>112.5</v>
      </c>
      <c r="F36" s="360" t="n">
        <v>137.5</v>
      </c>
      <c r="G36" s="337" t="n"/>
    </row>
    <row r="37" ht="21" customHeight="1" s="290">
      <c r="A37" s="317" t="inlineStr">
        <is>
          <t>Complete</t>
        </is>
      </c>
      <c r="B37" s="390" t="inlineStr">
        <is>
          <t>Turbidity</t>
        </is>
      </c>
      <c r="C37" s="359" t="inlineStr">
        <is>
          <t>Turbidity</t>
        </is>
      </c>
      <c r="D37" s="360" t="n">
        <v>5</v>
      </c>
      <c r="E37" s="360" t="n">
        <v>4.5</v>
      </c>
      <c r="F37" s="360" t="n">
        <v>5.5</v>
      </c>
      <c r="G37" s="337" t="n"/>
    </row>
  </sheetData>
  <mergeCells count="1">
    <mergeCell ref="E2:F2"/>
  </mergeCells>
  <conditionalFormatting sqref="C4:C29 C32:C37">
    <cfRule type="expression" rank="0" priority="2" equalAverage="0" aboveAverage="0" dxfId="0" text="" percent="0" bottom="0">
      <formula>NOT(COUNTIF(INDIRECT("Analysis Services!"&amp;"F$4:F"),C4)&gt;0)*NOT(ISBLANK(C4))</formula>
    </cfRule>
  </conditionalFormatting>
  <conditionalFormatting sqref="B4:B37">
    <cfRule type="expression" rank="0" priority="3" equalAverage="0" aboveAverage="0" dxfId="0" text="" percent="0" bottom="0">
      <formula>NOT(COUNTIF(INDIRECT("Analysis Services!"&amp;"C$4:C"),B4)&gt;0)*NOT(ISBLANK(B4))</formula>
    </cfRule>
  </conditionalFormatting>
  <conditionalFormatting sqref="A1:G1">
    <cfRule type="expression" rank="0" priority="4" equalAverage="0" aboveAverage="0" dxfId="0" text="" percent="0" bottom="0">
      <formula>LEN(TRIM(A1))=0</formula>
    </cfRule>
  </conditionalFormatting>
  <conditionalFormatting sqref="A4:A37">
    <cfRule type="expression" rank="0" priority="5" equalAverage="0" aboveAverage="0" dxfId="0" text="" percent="0" bottom="0">
      <formula>NOT(COUNTIF(INDIRECT("Reference Definitions!"&amp;"A$4:A"),A4)&gt;0)*NOT(ISBLANK(A4))</formula>
    </cfRule>
  </conditionalFormatting>
  <dataValidations count="4">
    <dataValidation sqref="A4:A37" showDropDown="0" showInputMessage="0" showErrorMessage="1" allowBlank="1" type="list" errorStyle="stop" operator="equal">
      <formula1>'Reference Definitions'!$A$4:$A37</formula1>
      <formula2>0</formula2>
    </dataValidation>
    <dataValidation sqref="B4:B37" showDropDown="0" showInputMessage="0" showErrorMessage="1" allowBlank="1" type="list" errorStyle="stop" operator="equal">
      <formula1>'Analysis Services'!$C$4:$C37</formula1>
      <formula2>0</formula2>
    </dataValidation>
    <dataValidation sqref="C4:C37" showDropDown="0" showInputMessage="0" showErrorMessage="1" allowBlank="1" type="list" errorStyle="stop" operator="equal">
      <formula1>'Analysis Services'!$F$4:$F37</formula1>
      <formula2>0</formula2>
    </dataValidation>
    <dataValidation sqref="D4:F37" showDropDown="0" showInputMessage="0" showErrorMessage="0" allowBlank="1" type="decimal" errorStyle="stop" operator="between">
      <formula1>-9999999</formula1>
      <formula2>9999999999</formula2>
    </dataValidation>
  </dataValidations>
  <printOptions horizontalCentered="1" verticalCentered="0" headings="0" gridLines="1" gridLinesSet="1"/>
  <pageMargins left="0.25" right="0.25" top="0.75" bottom="0.75" header="0.511811023622047" footer="0.511811023622047"/>
  <pageSetup orientation="portrait" paperSize="1" scale="60" fitToHeight="1" fitToWidth="1" pageOrder="overThenDown" blackAndWhite="0" draft="0" horizontalDpi="300" verticalDpi="300" copies="1"/>
</worksheet>
</file>

<file path=xl/worksheets/sheet43.xml><?xml version="1.0" encoding="utf-8"?>
<worksheet xmlns="http://schemas.openxmlformats.org/spreadsheetml/2006/main">
  <sheetPr filterMode="0">
    <tabColor rgb="FF5DD727"/>
    <outlinePr summaryBelow="1" summaryRight="1"/>
    <pageSetUpPr fitToPage="0"/>
  </sheetPr>
  <dimension ref="A1:D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7.72" customWidth="1" style="289" min="1" max="1"/>
    <col width="33.51" customWidth="1" style="289" min="2" max="2"/>
    <col width="24.19" customWidth="1" style="289" min="3" max="3"/>
    <col width="26.96" customWidth="1" style="289" min="4" max="4"/>
    <col width="12.72" customWidth="1" style="289" min="5" max="1024"/>
  </cols>
  <sheetData>
    <row r="1" ht="20.25" customHeight="1" s="290">
      <c r="A1" s="554" t="inlineStr">
        <is>
          <t>title</t>
        </is>
      </c>
      <c r="B1" s="554" t="inlineStr">
        <is>
          <t>description</t>
        </is>
      </c>
      <c r="C1" s="554" t="inlineStr">
        <is>
          <t>Instrument_title</t>
        </is>
      </c>
      <c r="D1" s="383" t="n"/>
    </row>
    <row r="2" ht="37.5" customHeight="1" s="290">
      <c r="A2" s="343">
        <f>HYPERLINK("https://www.bikalims.org/manual/worksheets/worksheets","Worksheet Templates")</f>
        <v/>
      </c>
      <c r="B2" s="555" t="n"/>
      <c r="C2" s="327" t="n"/>
      <c r="D2" s="307">
        <f>HYPERLINK("https://www.bikalabs.com","Creative Commons BYSA
Bika Lab Systems")</f>
        <v/>
      </c>
    </row>
    <row r="3" ht="24" customHeight="1" s="290">
      <c r="A3" s="356" t="inlineStr">
        <is>
          <t>⭐ Title</t>
        </is>
      </c>
      <c r="B3" s="356" t="inlineStr">
        <is>
          <t>Description</t>
        </is>
      </c>
      <c r="C3" s="368" t="inlineStr">
        <is>
          <t>Instrument</t>
        </is>
      </c>
      <c r="D3" s="310" t="n"/>
    </row>
    <row r="4" ht="21" customHeight="1" s="290">
      <c r="A4" s="296" t="inlineStr">
        <is>
          <t>Metals</t>
        </is>
      </c>
      <c r="B4" s="296" t="n"/>
      <c r="C4" s="296" t="n"/>
      <c r="D4" s="370" t="n"/>
    </row>
    <row r="5" ht="21" customHeight="1" s="290">
      <c r="A5" s="296" t="inlineStr">
        <is>
          <t>Micro Biology</t>
        </is>
      </c>
      <c r="B5" s="296" t="n"/>
      <c r="C5" s="296" t="n"/>
      <c r="D5" s="370" t="n"/>
    </row>
  </sheetData>
  <conditionalFormatting sqref="A1:D1">
    <cfRule type="expression" rank="0" priority="2" equalAverage="0" aboveAverage="0" dxfId="0" text="" percent="0" bottom="0">
      <formula>LEN(TRIM(A1))=0</formula>
    </cfRule>
  </conditionalFormatting>
  <dataValidations count="1">
    <dataValidation sqref="C4:C5" showDropDown="0" showInputMessage="0" showErrorMessage="1" allowBlank="1" type="list" errorStyle="stop" operator="equal">
      <formula1>Instruments!$B$4:$B5</formula1>
      <formula2>0</formula2>
    </dataValidation>
  </dataValidation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tabColor rgb="FF5DD727"/>
    <outlinePr summaryBelow="1" summaryRight="1"/>
    <pageSetUpPr fitToPage="0"/>
  </sheetPr>
  <dimension ref="A1:D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34.4" customWidth="1" style="289" min="1" max="1"/>
    <col width="30.1" customWidth="1" style="289" min="2" max="2"/>
    <col width="22.3" customWidth="1" style="289" min="3" max="3"/>
    <col width="21.3" customWidth="1" style="289" min="4" max="4"/>
    <col width="12.72" customWidth="1" style="289" min="5" max="1024"/>
  </cols>
  <sheetData>
    <row r="1" hidden="1" ht="20.25" customHeight="1" s="290">
      <c r="A1" s="554" t="inlineStr">
        <is>
          <t>WorksheetTemplate_title</t>
        </is>
      </c>
      <c r="B1" s="554" t="inlineStr">
        <is>
          <t>service</t>
        </is>
      </c>
      <c r="C1" s="554" t="inlineStr">
        <is>
          <t>Keyword</t>
        </is>
      </c>
      <c r="D1" s="383" t="n"/>
    </row>
    <row r="2" ht="37.5" customHeight="1" s="290">
      <c r="A2" s="343" t="inlineStr">
        <is>
          <t>Worksheet Template Services</t>
        </is>
      </c>
      <c r="B2" s="555" t="n"/>
      <c r="C2" s="327" t="n"/>
      <c r="D2" s="307">
        <f>HYPERLINK("https://www.bikalabs.com","Creative Commons BYSA
Bika Lab Systems")</f>
        <v/>
      </c>
    </row>
    <row r="3" ht="24" customHeight="1" s="290">
      <c r="A3" s="356" t="inlineStr">
        <is>
          <t>⭐ Template</t>
        </is>
      </c>
      <c r="B3" s="356" t="inlineStr">
        <is>
          <t>⭐ Analysis Service</t>
        </is>
      </c>
      <c r="C3" s="356" t="inlineStr">
        <is>
          <t>Keyword</t>
        </is>
      </c>
      <c r="D3" s="310" t="n"/>
    </row>
    <row r="4" ht="19.5" customHeight="1" s="290">
      <c r="A4" s="296" t="inlineStr">
        <is>
          <t>Metals</t>
        </is>
      </c>
      <c r="B4" s="390" t="inlineStr">
        <is>
          <t>Aluminium</t>
        </is>
      </c>
      <c r="C4" s="359" t="inlineStr">
        <is>
          <t>Aluminium</t>
        </is>
      </c>
      <c r="D4" s="296" t="n"/>
    </row>
    <row r="5" ht="19.5" customHeight="1" s="290">
      <c r="A5" s="296" t="inlineStr">
        <is>
          <t>Metals</t>
        </is>
      </c>
      <c r="B5" s="390" t="inlineStr">
        <is>
          <t>Calcium</t>
        </is>
      </c>
      <c r="C5" s="359" t="inlineStr">
        <is>
          <t>Calcium</t>
        </is>
      </c>
      <c r="D5" s="296" t="n"/>
    </row>
    <row r="6" ht="19.5" customHeight="1" s="290">
      <c r="A6" s="296" t="inlineStr">
        <is>
          <t>Metals</t>
        </is>
      </c>
      <c r="B6" s="390" t="inlineStr">
        <is>
          <t>Iron</t>
        </is>
      </c>
      <c r="C6" s="359" t="inlineStr">
        <is>
          <t>Fe</t>
        </is>
      </c>
      <c r="D6" s="296" t="n"/>
    </row>
    <row r="7" ht="19.5" customHeight="1" s="290">
      <c r="A7" s="296" t="inlineStr">
        <is>
          <t>Metals</t>
        </is>
      </c>
      <c r="B7" s="390" t="inlineStr">
        <is>
          <t>Magnesium</t>
        </is>
      </c>
      <c r="C7" s="359" t="inlineStr">
        <is>
          <t>Magnesium</t>
        </is>
      </c>
      <c r="D7" s="296" t="n"/>
    </row>
    <row r="8" ht="19.5" customHeight="1" s="290">
      <c r="A8" s="296" t="inlineStr">
        <is>
          <t>Metals</t>
        </is>
      </c>
      <c r="B8" s="390" t="inlineStr">
        <is>
          <t>Manganese</t>
        </is>
      </c>
      <c r="C8" s="359" t="inlineStr">
        <is>
          <t>Mn</t>
        </is>
      </c>
      <c r="D8" s="296" t="n"/>
    </row>
    <row r="9" ht="19.5" customHeight="1" s="290">
      <c r="A9" s="296" t="inlineStr">
        <is>
          <t>Metals</t>
        </is>
      </c>
      <c r="B9" s="390" t="inlineStr">
        <is>
          <t>Sodium</t>
        </is>
      </c>
      <c r="C9" s="359" t="inlineStr">
        <is>
          <t>Sodium</t>
        </is>
      </c>
      <c r="D9" s="296" t="n"/>
    </row>
    <row r="10" ht="19.5" customHeight="1" s="290">
      <c r="A10" s="296" t="inlineStr">
        <is>
          <t>Micro Biology</t>
        </is>
      </c>
      <c r="B10" s="390" t="inlineStr">
        <is>
          <t>E.coli Detection</t>
        </is>
      </c>
      <c r="C10" s="359" t="inlineStr">
        <is>
          <t>Ecoli</t>
        </is>
      </c>
      <c r="D10" s="296" t="n"/>
    </row>
    <row r="11" ht="19.5" customHeight="1" s="290">
      <c r="A11" s="296" t="inlineStr">
        <is>
          <t>Micro Biology</t>
        </is>
      </c>
      <c r="B11" s="390" t="inlineStr">
        <is>
          <t>Heterotrophic Plate Count</t>
        </is>
      </c>
      <c r="C11" s="359" t="inlineStr">
        <is>
          <t>HPC</t>
        </is>
      </c>
      <c r="D11" s="296" t="n"/>
    </row>
    <row r="12" ht="19.5" customHeight="1" s="290">
      <c r="A12" s="296" t="inlineStr">
        <is>
          <t>Micro Biology</t>
        </is>
      </c>
      <c r="B12" s="390" t="inlineStr">
        <is>
          <t>Total Coliforms</t>
        </is>
      </c>
      <c r="C12" s="359" t="inlineStr">
        <is>
          <t>TotalColoforms</t>
        </is>
      </c>
      <c r="D12" s="296" t="n"/>
    </row>
  </sheetData>
  <conditionalFormatting sqref="C4:C12">
    <cfRule type="expression" rank="0" priority="2" equalAverage="0" aboveAverage="0" dxfId="0" text="" percent="0" bottom="0">
      <formula>NOT(COUNTIF(INDIRECT("Analysis Services!"&amp;"F$4:F"),C4)&gt;0)*NOT(ISBLANK(C4))</formula>
    </cfRule>
  </conditionalFormatting>
  <conditionalFormatting sqref="B4:B12">
    <cfRule type="expression" rank="0" priority="3" equalAverage="0" aboveAverage="0" dxfId="0" text="" percent="0" bottom="0">
      <formula>NOT(COUNTIF(INDIRECT("Analysis Services!"&amp;"C$4:C"),B4)&gt;0)*NOT(ISBLANK(B4))</formula>
    </cfRule>
  </conditionalFormatting>
  <conditionalFormatting sqref="A1:D1">
    <cfRule type="expression" rank="0" priority="4" equalAverage="0" aboveAverage="0" dxfId="0" text="" percent="0" bottom="0">
      <formula>LEN(TRIM(A1))=0</formula>
    </cfRule>
  </conditionalFormatting>
  <dataValidations count="2">
    <dataValidation sqref="B4:B12" showDropDown="0" showInputMessage="0" showErrorMessage="1" allowBlank="1" type="list" errorStyle="stop" operator="equal">
      <formula1>'Analysis Services'!$C$4:$C12</formula1>
      <formula2>0</formula2>
    </dataValidation>
    <dataValidation sqref="C4:C12" showDropDown="0" showInputMessage="0" showErrorMessage="1" allowBlank="1" type="list" errorStyle="stop" operator="equal">
      <formula1>'Analysis Services'!$F$4:$F12</formula1>
      <formula2>0</formula2>
    </dataValidation>
  </dataValidation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45.xml><?xml version="1.0" encoding="utf-8"?>
<worksheet xmlns="http://schemas.openxmlformats.org/spreadsheetml/2006/main">
  <sheetPr filterMode="0">
    <tabColor rgb="FF5DD727"/>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19.66" customWidth="1" style="289" min="1" max="1"/>
    <col width="15.37" customWidth="1" style="289" min="2" max="2"/>
    <col width="25.57" customWidth="1" style="289" min="3" max="3"/>
    <col width="20.29" customWidth="1" style="289" min="4" max="4"/>
    <col width="25.7" customWidth="1" style="289" min="5" max="5"/>
    <col width="20.29" customWidth="1" style="289" min="6" max="6"/>
    <col width="24.57" customWidth="1" style="289" min="7" max="7"/>
    <col width="12.72" customWidth="1" style="289" min="8" max="1024"/>
  </cols>
  <sheetData>
    <row r="1" hidden="1" ht="20.25" customHeight="1" s="290">
      <c r="A1" s="303" t="inlineStr">
        <is>
          <t>WorksheetTemplate_title</t>
        </is>
      </c>
      <c r="B1" s="303" t="inlineStr">
        <is>
          <t>pos</t>
        </is>
      </c>
      <c r="C1" s="303" t="inlineStr">
        <is>
          <t>type</t>
        </is>
      </c>
      <c r="D1" s="324" t="inlineStr">
        <is>
          <t>blank_ref</t>
        </is>
      </c>
      <c r="E1" s="303" t="inlineStr">
        <is>
          <t>control_ref</t>
        </is>
      </c>
      <c r="F1" s="324" t="inlineStr">
        <is>
          <t>dup</t>
        </is>
      </c>
      <c r="G1" s="556" t="n"/>
    </row>
    <row r="2" ht="35.25" customHeight="1" s="290">
      <c r="A2" s="343">
        <f>HYPERLINK("https://www.bikalims.org/manual/worksheets/worksheets","Worksheet Template Layouts")</f>
        <v/>
      </c>
      <c r="B2" s="555" t="n"/>
      <c r="C2" s="555" t="n"/>
      <c r="D2" s="354" t="inlineStr">
        <is>
          <t>Select QC Reference Definitions to use</t>
        </is>
      </c>
      <c r="E2" s="331" t="n"/>
      <c r="F2" s="332" t="n"/>
      <c r="G2" s="307">
        <f>HYPERLINK("https://www.bikalabs.com","Creative Commons BYSA
Bika Lab Systems")</f>
        <v/>
      </c>
    </row>
    <row r="3" ht="24" customHeight="1" s="290">
      <c r="A3" s="356" t="inlineStr">
        <is>
          <t>⭐ Template</t>
        </is>
      </c>
      <c r="B3" s="334" t="inlineStr">
        <is>
          <t>⭐ WS Position</t>
        </is>
      </c>
      <c r="C3" s="334" t="inlineStr">
        <is>
          <t>⭐ Routine or QC Analysis</t>
        </is>
      </c>
      <c r="D3" s="334" t="inlineStr">
        <is>
          <t>If Blank</t>
        </is>
      </c>
      <c r="E3" s="334" t="inlineStr">
        <is>
          <t>If Control</t>
        </is>
      </c>
      <c r="F3" s="334" t="inlineStr">
        <is>
          <t>If Duplicate, Position</t>
        </is>
      </c>
      <c r="G3" s="349" t="n"/>
    </row>
    <row r="4" ht="21" customHeight="1" s="290">
      <c r="A4" s="296" t="inlineStr">
        <is>
          <t>Metals</t>
        </is>
      </c>
      <c r="B4" s="360" t="n">
        <v>1</v>
      </c>
      <c r="C4" s="390" t="inlineStr">
        <is>
          <t>Blank</t>
        </is>
      </c>
      <c r="D4" s="390" t="inlineStr">
        <is>
          <t>Distilled Water</t>
        </is>
      </c>
      <c r="E4" s="391" t="n"/>
      <c r="F4" s="390" t="n"/>
      <c r="G4" s="556" t="n"/>
    </row>
    <row r="5" ht="21" customHeight="1" s="290">
      <c r="A5" s="296" t="inlineStr">
        <is>
          <t>Metals</t>
        </is>
      </c>
      <c r="B5" s="360" t="n">
        <v>2</v>
      </c>
      <c r="C5" s="390" t="inlineStr">
        <is>
          <t>Control</t>
        </is>
      </c>
      <c r="D5" s="390" t="n"/>
      <c r="E5" s="391" t="inlineStr">
        <is>
          <t>Complete</t>
        </is>
      </c>
      <c r="F5" s="390" t="n"/>
      <c r="G5" s="556" t="n"/>
    </row>
    <row r="6" ht="21" customHeight="1" s="290">
      <c r="A6" s="296" t="inlineStr">
        <is>
          <t>Metals</t>
        </is>
      </c>
      <c r="B6" s="360" t="n">
        <v>3</v>
      </c>
      <c r="C6" s="390" t="inlineStr">
        <is>
          <t>Analysis</t>
        </is>
      </c>
      <c r="D6" s="391" t="n"/>
      <c r="E6" s="390" t="n"/>
      <c r="F6" s="390" t="n"/>
      <c r="G6" s="556" t="n"/>
    </row>
    <row r="7" ht="21" customHeight="1" s="290">
      <c r="A7" s="296" t="inlineStr">
        <is>
          <t>Metals</t>
        </is>
      </c>
      <c r="B7" s="360" t="n">
        <v>4</v>
      </c>
      <c r="C7" s="390" t="inlineStr">
        <is>
          <t>Analysis</t>
        </is>
      </c>
      <c r="D7" s="391" t="n"/>
      <c r="E7" s="390" t="n"/>
      <c r="F7" s="390" t="n"/>
      <c r="G7" s="556" t="n"/>
    </row>
    <row r="8" ht="21" customHeight="1" s="290">
      <c r="A8" s="296" t="inlineStr">
        <is>
          <t>Metals</t>
        </is>
      </c>
      <c r="B8" s="360" t="n">
        <v>5</v>
      </c>
      <c r="C8" s="390" t="inlineStr">
        <is>
          <t>Analysis</t>
        </is>
      </c>
      <c r="D8" s="391" t="n"/>
      <c r="E8" s="390" t="n"/>
      <c r="F8" s="390" t="n"/>
      <c r="G8" s="556" t="n"/>
    </row>
    <row r="9" ht="21" customHeight="1" s="290">
      <c r="A9" s="296" t="inlineStr">
        <is>
          <t>Metals</t>
        </is>
      </c>
      <c r="B9" s="360" t="n">
        <v>6</v>
      </c>
      <c r="C9" s="390" t="inlineStr">
        <is>
          <t>Analysis</t>
        </is>
      </c>
      <c r="D9" s="391" t="n"/>
      <c r="E9" s="390" t="n"/>
      <c r="F9" s="390" t="n"/>
      <c r="G9" s="556" t="n"/>
    </row>
    <row r="10" ht="21" customHeight="1" s="290">
      <c r="A10" s="296" t="inlineStr">
        <is>
          <t>Metals</t>
        </is>
      </c>
      <c r="B10" s="360" t="n">
        <v>7</v>
      </c>
      <c r="C10" s="390" t="inlineStr">
        <is>
          <t>Analysis</t>
        </is>
      </c>
      <c r="D10" s="391" t="n"/>
      <c r="E10" s="390" t="n"/>
      <c r="F10" s="390" t="n"/>
      <c r="G10" s="556" t="n"/>
    </row>
    <row r="11" ht="21" customHeight="1" s="290">
      <c r="A11" s="296" t="inlineStr">
        <is>
          <t>Metals</t>
        </is>
      </c>
      <c r="B11" s="360" t="n">
        <v>8</v>
      </c>
      <c r="C11" s="390" t="inlineStr">
        <is>
          <t>Analysis</t>
        </is>
      </c>
      <c r="D11" s="391" t="n"/>
      <c r="E11" s="390" t="n"/>
      <c r="F11" s="390" t="n"/>
      <c r="G11" s="556" t="n"/>
    </row>
    <row r="12" ht="21" customHeight="1" s="290">
      <c r="A12" s="296" t="inlineStr">
        <is>
          <t>Metals</t>
        </is>
      </c>
      <c r="B12" s="360" t="n">
        <v>9</v>
      </c>
      <c r="C12" s="390" t="inlineStr">
        <is>
          <t>Analysis</t>
        </is>
      </c>
      <c r="D12" s="391" t="n"/>
      <c r="E12" s="390" t="n"/>
      <c r="F12" s="390" t="n"/>
      <c r="G12" s="556" t="n"/>
    </row>
    <row r="13" ht="21" customHeight="1" s="290">
      <c r="A13" s="296" t="inlineStr">
        <is>
          <t>Metals</t>
        </is>
      </c>
      <c r="B13" s="360" t="n">
        <v>10</v>
      </c>
      <c r="C13" s="390" t="inlineStr">
        <is>
          <t>Analysis</t>
        </is>
      </c>
      <c r="D13" s="391" t="n"/>
      <c r="E13" s="390" t="n"/>
      <c r="F13" s="390" t="n"/>
      <c r="G13" s="556" t="n"/>
    </row>
    <row r="14" ht="21" customHeight="1" s="290">
      <c r="A14" s="296" t="inlineStr">
        <is>
          <t>Micro Biology</t>
        </is>
      </c>
      <c r="B14" s="360" t="n">
        <v>1</v>
      </c>
      <c r="C14" s="390" t="inlineStr">
        <is>
          <t>Analysis</t>
        </is>
      </c>
      <c r="D14" s="391" t="n"/>
      <c r="E14" s="390" t="n"/>
      <c r="F14" s="390" t="n"/>
      <c r="G14" s="556" t="n"/>
    </row>
    <row r="15" ht="21" customHeight="1" s="290">
      <c r="A15" s="296" t="inlineStr">
        <is>
          <t>Micro Biology</t>
        </is>
      </c>
      <c r="B15" s="360" t="n">
        <v>2</v>
      </c>
      <c r="C15" s="390" t="inlineStr">
        <is>
          <t>Analysis</t>
        </is>
      </c>
      <c r="D15" s="391" t="n"/>
      <c r="E15" s="390" t="n"/>
      <c r="F15" s="390" t="n"/>
      <c r="G15" s="556" t="n"/>
    </row>
    <row r="16" ht="21" customHeight="1" s="290">
      <c r="A16" s="296" t="inlineStr">
        <is>
          <t>Micro Biology</t>
        </is>
      </c>
      <c r="B16" s="360" t="n">
        <v>3</v>
      </c>
      <c r="C16" s="390" t="inlineStr">
        <is>
          <t>Analysis</t>
        </is>
      </c>
      <c r="D16" s="391" t="n"/>
      <c r="E16" s="390" t="n"/>
      <c r="F16" s="390" t="n"/>
      <c r="G16" s="556" t="n"/>
    </row>
    <row r="17" ht="21" customHeight="1" s="290">
      <c r="A17" s="296" t="inlineStr">
        <is>
          <t>Micro Biology</t>
        </is>
      </c>
      <c r="B17" s="360" t="n">
        <v>4</v>
      </c>
      <c r="C17" s="390" t="inlineStr">
        <is>
          <t>Analysis</t>
        </is>
      </c>
      <c r="D17" s="391" t="n"/>
      <c r="E17" s="390" t="n"/>
      <c r="F17" s="390" t="n"/>
      <c r="G17" s="556" t="n"/>
    </row>
    <row r="18" ht="21" customHeight="1" s="290">
      <c r="A18" s="296" t="inlineStr">
        <is>
          <t>Micro Biology</t>
        </is>
      </c>
      <c r="B18" s="360" t="n">
        <v>5</v>
      </c>
      <c r="C18" s="390" t="inlineStr">
        <is>
          <t>Analysis</t>
        </is>
      </c>
      <c r="D18" s="391" t="n"/>
      <c r="E18" s="390" t="n"/>
      <c r="F18" s="390" t="n"/>
      <c r="G18" s="556" t="n"/>
    </row>
    <row r="19" ht="21" customHeight="1" s="290">
      <c r="A19" s="296" t="inlineStr">
        <is>
          <t>Micro Biology</t>
        </is>
      </c>
      <c r="B19" s="360" t="n">
        <v>6</v>
      </c>
      <c r="C19" s="390" t="inlineStr">
        <is>
          <t>Analysis</t>
        </is>
      </c>
      <c r="D19" s="391" t="n"/>
      <c r="E19" s="390" t="n"/>
      <c r="F19" s="390" t="n"/>
      <c r="G19" s="556" t="n"/>
    </row>
    <row r="20" ht="21" customHeight="1" s="290">
      <c r="A20" s="296" t="inlineStr">
        <is>
          <t>Micro Biology</t>
        </is>
      </c>
      <c r="B20" s="360" t="n">
        <v>7</v>
      </c>
      <c r="C20" s="390" t="inlineStr">
        <is>
          <t>Analysis</t>
        </is>
      </c>
      <c r="D20" s="391" t="n"/>
      <c r="E20" s="390" t="n"/>
      <c r="F20" s="390" t="n"/>
      <c r="G20" s="556" t="n"/>
    </row>
    <row r="21" ht="21" customHeight="1" s="290">
      <c r="A21" s="296" t="inlineStr">
        <is>
          <t>Micro Biology</t>
        </is>
      </c>
      <c r="B21" s="360" t="n">
        <v>8</v>
      </c>
      <c r="C21" s="390" t="inlineStr">
        <is>
          <t>Analysis</t>
        </is>
      </c>
      <c r="D21" s="391" t="n"/>
      <c r="E21" s="390" t="n"/>
      <c r="F21" s="390" t="n"/>
      <c r="G21" s="556" t="n"/>
    </row>
    <row r="22" ht="21" customHeight="1" s="290">
      <c r="A22" s="296" t="inlineStr">
        <is>
          <t>Micro Biology</t>
        </is>
      </c>
      <c r="B22" s="360" t="n">
        <v>9</v>
      </c>
      <c r="C22" s="390" t="inlineStr">
        <is>
          <t>Analysis</t>
        </is>
      </c>
      <c r="D22" s="391" t="n"/>
      <c r="E22" s="390" t="n"/>
      <c r="F22" s="390" t="n"/>
      <c r="G22" s="556" t="n"/>
    </row>
    <row r="23" ht="21" customHeight="1" s="290">
      <c r="A23" s="296" t="inlineStr">
        <is>
          <t>Micro Biology</t>
        </is>
      </c>
      <c r="B23" s="360" t="n">
        <v>10</v>
      </c>
      <c r="C23" s="390" t="inlineStr">
        <is>
          <t>Analysis</t>
        </is>
      </c>
      <c r="D23" s="391" t="n"/>
      <c r="E23" s="390" t="n"/>
      <c r="F23" s="390" t="n">
        <v>3</v>
      </c>
      <c r="G23" s="556" t="n"/>
    </row>
  </sheetData>
  <mergeCells count="1">
    <mergeCell ref="D2:F2"/>
  </mergeCells>
  <conditionalFormatting sqref="D4:E23">
    <cfRule type="expression" rank="0" priority="2" equalAverage="0" aboveAverage="0" dxfId="0" text="" percent="0" bottom="0">
      <formula>NOT(COUNTIF(INDIRECT("Reference Definitions!"&amp;"A$4:A"),D4)&gt;0)*NOT(ISBLANK(D4))</formula>
    </cfRule>
  </conditionalFormatting>
  <conditionalFormatting sqref="A1:G1">
    <cfRule type="expression" rank="0" priority="3" equalAverage="0" aboveAverage="0" dxfId="0" text="" percent="0" bottom="0">
      <formula>LEN(TRIM(A1))=0</formula>
    </cfRule>
  </conditionalFormatting>
  <dataValidations count="5">
    <dataValidation sqref="B4:B23" showDropDown="0" showInputMessage="1" showErrorMessage="1" allowBlank="1" prompt="Integer - Please enter a whole number bigger than 0" type="decimal" errorStyle="stop" operator="greaterThan">
      <formula1>0</formula1>
      <formula2>0</formula2>
    </dataValidation>
    <dataValidation sqref="C4:C23" showDropDown="0" showInputMessage="1" showErrorMessage="1" allowBlank="1" prompt="Indicate what type of Analysis goes into the position, QC sample or Routine  - Select a valid entry from the drop-down list. The list is maintained  on the 'Constants' sheet" type="list" errorStyle="stop" operator="equal">
      <formula1>"Analysis,Control,Blank,Duplicate"</formula1>
      <formula2>0</formula2>
    </dataValidation>
    <dataValidation sqref="D4:D23" showDropDown="0" showInputMessage="1" showErrorMessage="1" allowBlank="1" prompt="If a BLANK, select a Blank Reference Definition for the Reference Sample - Select a valid BLANK Reference Definition from the selection list. The list is  maintained on the 'Reference Definitions' sheet." type="list" errorStyle="stop" operator="equal">
      <formula1>'Reference Definitions'!$A$4:$A23</formula1>
      <formula2>0</formula2>
    </dataValidation>
    <dataValidation sqref="E4:E23" showDropDown="0" showInputMessage="0" showErrorMessage="1" allowBlank="1" type="list" errorStyle="stop" operator="equal">
      <formula1>'Reference Definitions'!$A$4:$A23</formula1>
      <formula2>0</formula2>
    </dataValidation>
    <dataValidation sqref="F4:F23" showDropDown="0" showInputMessage="1" showErrorMessage="1" allowBlank="1" prompt="If a Duplicate, please select a worksheet position to be duplicated - Must indicate an existing position on the worksheet" type="decimal" errorStyle="stop" operator="greaterThan">
      <formula1>1</formula1>
      <formula2>0</formula2>
    </dataValidation>
  </dataValidation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46.xml><?xml version="1.0" encoding="utf-8"?>
<worksheet xmlns="http://schemas.openxmlformats.org/spreadsheetml/2006/main">
  <sheetPr filterMode="0">
    <tabColor rgb="FFCCCCCC"/>
    <outlinePr summaryBelow="1" summaryRight="1"/>
    <pageSetUpPr fitToPage="0"/>
  </sheetPr>
  <dimension ref="A1:C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9.48" customWidth="1" style="289" min="1" max="1"/>
    <col width="44.09" customWidth="1" style="289" min="2" max="2"/>
    <col width="29.98" customWidth="1" style="289" min="3" max="3"/>
    <col width="12.72" customWidth="1" style="289" min="4" max="1024"/>
  </cols>
  <sheetData>
    <row r="1" hidden="1" ht="20.25" customHeight="1" s="290">
      <c r="A1" s="303" t="inlineStr">
        <is>
          <t>title</t>
        </is>
      </c>
      <c r="B1" s="303" t="inlineStr">
        <is>
          <t>description</t>
        </is>
      </c>
      <c r="C1" s="303" t="n"/>
    </row>
    <row r="2" ht="37.5" customHeight="1" s="290">
      <c r="A2" s="325" t="inlineStr">
        <is>
          <t>Sampling Deviations</t>
        </is>
      </c>
      <c r="B2" s="327" t="n"/>
      <c r="C2" s="307">
        <f>HYPERLINK("https://www.bikalabs.com","Creative Commons BYSA
Bika Lab Systems")</f>
        <v/>
      </c>
    </row>
    <row r="3" ht="24" customHeight="1" s="290">
      <c r="A3" s="356" t="inlineStr">
        <is>
          <t>⭐ Title</t>
        </is>
      </c>
      <c r="B3" s="356" t="inlineStr">
        <is>
          <t>Description</t>
        </is>
      </c>
      <c r="C3" s="310" t="n"/>
    </row>
    <row r="4" ht="21" customHeight="1" s="290">
      <c r="A4" s="438" t="inlineStr">
        <is>
          <t>Auto-sampler</t>
        </is>
      </c>
      <c r="B4" s="438" t="inlineStr">
        <is>
          <t>Robotic inline sample grabber</t>
        </is>
      </c>
      <c r="C4" s="438" t="n"/>
    </row>
    <row r="5" ht="21" customHeight="1" s="290">
      <c r="A5" s="557" t="inlineStr">
        <is>
          <t>Sampled by 3rd Party</t>
        </is>
      </c>
      <c r="B5" s="557" t="inlineStr">
        <is>
          <t>A Contracted organisation did the sampling</t>
        </is>
      </c>
      <c r="C5" s="438" t="n"/>
    </row>
    <row r="6" ht="21" customHeight="1" s="290">
      <c r="A6" s="557" t="inlineStr">
        <is>
          <t>Sampled by Client</t>
        </is>
      </c>
      <c r="B6" s="557" t="inlineStr">
        <is>
          <t>The client collected and submitted the sample</t>
        </is>
      </c>
      <c r="C6" s="438" t="n"/>
    </row>
    <row r="7" ht="21" customHeight="1" s="290">
      <c r="A7" s="557" t="inlineStr">
        <is>
          <t>Sampled by Lab</t>
        </is>
      </c>
      <c r="B7" s="557" t="inlineStr">
        <is>
          <t>Using the lab's sampler team on field trips</t>
        </is>
      </c>
      <c r="C7" s="438" t="n"/>
    </row>
  </sheetData>
  <conditionalFormatting sqref="A1:C1">
    <cfRule type="expression" rank="0" priority="2" equalAverage="0" aboveAverage="0" dxfId="0" text="" percent="0" bottom="0">
      <formula>LEN(TRIM(A1))=0</formula>
    </cfRule>
  </conditionalFormatting>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47.xml><?xml version="1.0" encoding="utf-8"?>
<worksheet xmlns="http://schemas.openxmlformats.org/spreadsheetml/2006/main">
  <sheetPr filterMode="0">
    <tabColor rgb="FFCCCCCC"/>
    <outlinePr summaryBelow="1" summaryRight="1"/>
    <pageSetUpPr fitToPage="0"/>
  </sheetPr>
  <dimension ref="A1:C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28.09" customWidth="1" style="289" min="1" max="1"/>
    <col width="33.51" customWidth="1" style="289" min="2" max="2"/>
    <col width="20.91" customWidth="1" style="289" min="3" max="3"/>
    <col width="12.72" customWidth="1" style="289" min="4" max="1024"/>
  </cols>
  <sheetData>
    <row r="1" hidden="1" ht="20.25" customHeight="1" s="290">
      <c r="A1" s="363" t="inlineStr">
        <is>
          <t>title</t>
        </is>
      </c>
      <c r="B1" s="363" t="inlineStr">
        <is>
          <t>description</t>
        </is>
      </c>
      <c r="C1" s="303" t="n"/>
    </row>
    <row r="2" ht="37.5" customHeight="1" s="290">
      <c r="A2" s="453" t="inlineStr">
        <is>
          <t>Sample Conditions</t>
        </is>
      </c>
      <c r="B2" s="327" t="n"/>
      <c r="C2" s="307">
        <f>HYPERLINK("https://www.bikalabs.com","Creative Commons BYSA
Bika Lab Systems")</f>
        <v/>
      </c>
    </row>
    <row r="3" ht="24" customHeight="1" s="290">
      <c r="A3" s="403" t="inlineStr">
        <is>
          <t>⭐ Title</t>
        </is>
      </c>
      <c r="B3" s="403" t="inlineStr">
        <is>
          <t>Description</t>
        </is>
      </c>
      <c r="C3" s="310" t="n"/>
    </row>
    <row r="4" ht="21" customHeight="1" s="290">
      <c r="A4" s="338" t="inlineStr">
        <is>
          <t>Good</t>
        </is>
      </c>
      <c r="B4" s="338" t="n"/>
      <c r="C4" s="337" t="n"/>
    </row>
    <row r="5" ht="21" customHeight="1" s="290">
      <c r="A5" s="338" t="inlineStr">
        <is>
          <t>Compromised</t>
        </is>
      </c>
      <c r="B5" s="338" t="n"/>
      <c r="C5" s="337" t="n"/>
    </row>
    <row r="6" ht="21" customHeight="1" s="290">
      <c r="A6" s="338" t="inlineStr">
        <is>
          <t>Leaking</t>
        </is>
      </c>
      <c r="B6" s="338" t="n"/>
      <c r="C6" s="337" t="n"/>
    </row>
    <row r="7" ht="21" customHeight="1" s="290">
      <c r="A7" s="338" t="inlineStr">
        <is>
          <t>Empty</t>
        </is>
      </c>
      <c r="B7" s="338" t="n"/>
      <c r="C7" s="337" t="n"/>
    </row>
  </sheetData>
  <conditionalFormatting sqref="A1:C1">
    <cfRule type="expression" rank="0" priority="2" equalAverage="0" aboveAverage="0" dxfId="0" text="" percent="0" bottom="0">
      <formula>LEN(TRIM(A1))=0</formula>
    </cfRule>
  </conditionalFormatting>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48.xml><?xml version="1.0" encoding="utf-8"?>
<worksheet xmlns="http://schemas.openxmlformats.org/spreadsheetml/2006/main">
  <sheetPr filterMode="0">
    <tabColor rgb="FFFFFF00"/>
    <outlinePr summaryBelow="1" summaryRight="1"/>
    <pageSetUpPr fitToPage="0"/>
  </sheetPr>
  <dimension ref="A1:D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hidden="1" outlineLevel="1" width="17.12" customWidth="1" style="289" min="1" max="1"/>
    <col width="36.79" customWidth="1" style="289" min="2" max="2"/>
    <col width="13.73" customWidth="1" style="289" min="3" max="3"/>
    <col width="28.85" customWidth="1" style="289" min="4" max="4"/>
    <col width="12.72" customWidth="1" style="289" min="5" max="1024"/>
  </cols>
  <sheetData>
    <row r="1" hidden="1" ht="20.25" customHeight="1" s="290">
      <c r="A1" s="303" t="inlineStr">
        <is>
          <t>Field</t>
        </is>
      </c>
      <c r="B1" s="303" t="inlineStr">
        <is>
          <t>Description</t>
        </is>
      </c>
      <c r="C1" s="303" t="inlineStr">
        <is>
          <t>Value</t>
        </is>
      </c>
      <c r="D1" s="324" t="n"/>
    </row>
    <row r="2" ht="37.5" customHeight="1" s="290">
      <c r="A2" s="308" t="n"/>
      <c r="B2" s="325">
        <f>HYPERLINK("https://www.bikalims.org/manual/setup-and-configuration/main_setup_items","Setup – Global defaults")</f>
        <v/>
      </c>
      <c r="C2" s="327" t="n"/>
      <c r="D2" s="307">
        <f>HYPERLINK("https://www.bikalabs.com","Creative Commons BYSA
Bika Lab Systems")</f>
        <v/>
      </c>
    </row>
    <row r="3" ht="24" customHeight="1" s="290">
      <c r="A3" s="311" t="inlineStr">
        <is>
          <t>Field</t>
        </is>
      </c>
      <c r="B3" s="356" t="inlineStr">
        <is>
          <t>Description</t>
        </is>
      </c>
      <c r="C3" s="356" t="inlineStr">
        <is>
          <t>Value</t>
        </is>
      </c>
      <c r="D3" s="311" t="n"/>
    </row>
    <row r="4" ht="24" customHeight="1" s="290">
      <c r="A4" s="393" t="inlineStr">
        <is>
          <t>Currency</t>
        </is>
      </c>
      <c r="B4" s="558" t="inlineStr">
        <is>
          <t>Currency</t>
        </is>
      </c>
      <c r="C4" s="360" t="inlineStr">
        <is>
          <t>USD</t>
        </is>
      </c>
      <c r="D4" s="360" t="n"/>
    </row>
    <row r="5" ht="24" customHeight="1" s="290">
      <c r="A5" s="393" t="inlineStr">
        <is>
          <t>ShowPartitions</t>
        </is>
      </c>
      <c r="B5" s="558" t="inlineStr">
        <is>
          <t>Use Sample Partitions?  Y/N</t>
        </is>
      </c>
      <c r="C5" s="360" t="n">
        <v>1</v>
      </c>
      <c r="D5" s="360" t="n"/>
    </row>
    <row r="6" ht="24" customHeight="1" s="290">
      <c r="A6" s="393" t="inlineStr">
        <is>
          <t>ShowPricing</t>
        </is>
      </c>
      <c r="B6" s="558" t="inlineStr">
        <is>
          <t>Use Prices?  Y/N</t>
        </is>
      </c>
      <c r="C6" s="360" t="n">
        <v>1</v>
      </c>
      <c r="D6" s="360" t="n"/>
    </row>
    <row r="7" ht="24" customHeight="1" s="290">
      <c r="A7" s="393" t="inlineStr">
        <is>
          <t>MemberDiscount</t>
        </is>
      </c>
      <c r="B7" s="558" t="inlineStr">
        <is>
          <t>Member discount %</t>
        </is>
      </c>
      <c r="C7" s="360" t="n">
        <v>10</v>
      </c>
      <c r="D7" s="360" t="n"/>
    </row>
    <row r="8" ht="24" customHeight="1" s="290">
      <c r="A8" s="393" t="inlineStr">
        <is>
          <t>VAT</t>
        </is>
      </c>
      <c r="B8" s="558" t="inlineStr">
        <is>
          <t>Vat %</t>
        </is>
      </c>
      <c r="C8" s="360" t="n">
        <v>15</v>
      </c>
      <c r="D8" s="360" t="n"/>
    </row>
    <row r="9" ht="24" customHeight="1" s="290">
      <c r="A9" s="393" t="inlineStr">
        <is>
          <t>MinimumResults</t>
        </is>
      </c>
      <c r="B9" s="558" t="inlineStr">
        <is>
          <t>Minimum data points for graphs</t>
        </is>
      </c>
      <c r="C9" s="360" t="n">
        <v>5</v>
      </c>
      <c r="D9" s="360" t="n"/>
    </row>
    <row r="10" ht="24" customHeight="1" s="290">
      <c r="A10" s="393" t="inlineStr">
        <is>
          <t>BatchEmail</t>
        </is>
      </c>
      <c r="B10" s="558" t="inlineStr">
        <is>
          <t>Maximum email batch size</t>
        </is>
      </c>
      <c r="C10" s="360" t="n">
        <v>10</v>
      </c>
      <c r="D10" s="360" t="n"/>
    </row>
    <row r="11" ht="24" customHeight="1" s="290">
      <c r="A11" s="393" t="inlineStr">
        <is>
          <t>SamplingWorkflowEnabled</t>
        </is>
      </c>
      <c r="B11" s="558" t="inlineStr">
        <is>
          <t>Enable Sampling workflow?  Y/N</t>
        </is>
      </c>
      <c r="C11" s="360" t="n">
        <v>1</v>
      </c>
      <c r="D11" s="360" t="n"/>
    </row>
    <row r="12" ht="24" customHeight="1" s="290">
      <c r="A12" s="393" t="inlineStr">
        <is>
          <t>ScheduleSamplingEnabled</t>
        </is>
      </c>
      <c r="B12" s="558" t="inlineStr">
        <is>
          <t>Enable Scheduled Sampling?  Y/N</t>
        </is>
      </c>
      <c r="C12" s="360" t="n">
        <v>0</v>
      </c>
      <c r="D12" s="360" t="n"/>
    </row>
    <row r="13" ht="24" customHeight="1" s="290">
      <c r="A13" s="393" t="inlineStr">
        <is>
          <t>CategoriseAnalysisServices</t>
        </is>
      </c>
      <c r="B13" s="558" t="inlineStr">
        <is>
          <t>Categorise Analysis Services?</t>
        </is>
      </c>
      <c r="C13" s="360" t="n">
        <v>1</v>
      </c>
      <c r="D13" s="360" t="n"/>
    </row>
    <row r="14" ht="24" customHeight="1" s="290">
      <c r="A14" s="393" t="inlineStr">
        <is>
          <t>ARAttachmentOption</t>
        </is>
      </c>
      <c r="B14" s="558" t="inlineStr">
        <is>
          <t>Allow Sample Attachments? Y/N</t>
        </is>
      </c>
      <c r="C14" s="360" t="n">
        <v>1</v>
      </c>
      <c r="D14" s="360" t="n"/>
    </row>
    <row r="15" ht="24" customHeight="1" s="290">
      <c r="A15" s="393" t="inlineStr">
        <is>
          <t>AnalysisAttachmentOption</t>
        </is>
      </c>
      <c r="B15" s="558" t="inlineStr">
        <is>
          <t>Allow COA Attachments? Y/N</t>
        </is>
      </c>
      <c r="C15" s="360" t="n">
        <v>1</v>
      </c>
      <c r="D15" s="360" t="n"/>
    </row>
    <row r="16" ht="24" customHeight="1" s="290">
      <c r="A16" s="393" t="inlineStr">
        <is>
          <t>DefaultSampleLifetime_days</t>
        </is>
      </c>
      <c r="B16" s="558" t="inlineStr">
        <is>
          <t>Default Sample Retention Period; Days</t>
        </is>
      </c>
      <c r="C16" s="360" t="n">
        <v>5</v>
      </c>
      <c r="D16" s="360" t="n"/>
    </row>
    <row r="17" ht="24" customHeight="1" s="290">
      <c r="A17" s="393" t="inlineStr">
        <is>
          <t>DefaultSampleLifetime_hours</t>
        </is>
      </c>
      <c r="B17" s="558" t="inlineStr">
        <is>
          <t xml:space="preserve">                                                            Hours</t>
        </is>
      </c>
      <c r="C17" s="360" t="n">
        <v>0</v>
      </c>
      <c r="D17" s="360" t="n"/>
    </row>
    <row r="18" ht="24" customHeight="1" s="290">
      <c r="A18" s="393" t="inlineStr">
        <is>
          <t>DefaultSampleLifetime_minutes</t>
        </is>
      </c>
      <c r="B18" s="558" t="inlineStr">
        <is>
          <t xml:space="preserve">                                                            Minutes</t>
        </is>
      </c>
      <c r="C18" s="360" t="n">
        <v>0</v>
      </c>
      <c r="D18" s="360" t="n"/>
    </row>
    <row r="19" ht="24" customHeight="1" s="290">
      <c r="A19" s="393" t="inlineStr">
        <is>
          <t>AutoPrintLabels</t>
        </is>
      </c>
      <c r="B19" s="558" t="inlineStr">
        <is>
          <t>When are Samples first labeled?</t>
        </is>
      </c>
      <c r="C19" s="360" t="inlineStr">
        <is>
          <t>register</t>
        </is>
      </c>
      <c r="D19" s="360" t="n"/>
    </row>
    <row r="20" ht="24" customHeight="1" s="290">
      <c r="A20" s="393" t="inlineStr">
        <is>
          <t>AutoLabelSize</t>
        </is>
      </c>
      <c r="B20" s="558" t="inlineStr">
        <is>
          <t>Default label size</t>
        </is>
      </c>
      <c r="C20" s="360" t="inlineStr">
        <is>
          <t>normal</t>
        </is>
      </c>
      <c r="D20" s="360" t="n"/>
    </row>
    <row r="21" ht="24" customHeight="1" s="290">
      <c r="A21" s="393" t="inlineStr">
        <is>
          <t>DefaultCountry</t>
        </is>
      </c>
      <c r="B21" s="558" t="inlineStr">
        <is>
          <t>Default Country</t>
        </is>
      </c>
      <c r="C21" s="360" t="inlineStr">
        <is>
          <t>South Africa</t>
        </is>
      </c>
      <c r="D21" s="360" t="n"/>
    </row>
    <row r="22" ht="22.5" customHeight="1" s="290">
      <c r="A22" s="383" t="n"/>
      <c r="B22" s="383" t="n"/>
      <c r="C22" s="337" t="n"/>
      <c r="D22" s="296" t="n"/>
    </row>
    <row r="23" ht="22.5" customHeight="1" s="290">
      <c r="A23" s="383" t="n"/>
      <c r="B23" s="383" t="n"/>
      <c r="C23" s="337" t="n"/>
      <c r="D23" s="296" t="n"/>
    </row>
  </sheetData>
  <conditionalFormatting sqref="A1:A23 B1:D1">
    <cfRule type="expression" rank="0" priority="2" equalAverage="0" aboveAverage="0" dxfId="0" text="" percent="0" bottom="0">
      <formula>LEN(TRIM(A1))=0</formula>
    </cfRule>
  </conditionalFormatting>
  <dataValidations count="13">
    <dataValidation sqref="C17" showDropDown="0" showInputMessage="1" showErrorMessage="1" allowBlank="1" prompt="Valid entries - Please enter a whole number between 0 and 23" type="decimal" errorStyle="stop" operator="between">
      <formula1>0</formula1>
      <formula2>23</formula2>
    </dataValidation>
    <dataValidation sqref="C18" showDropDown="0" showInputMessage="1" showErrorMessage="1" allowBlank="1" prompt="Valid entries - Please enter a whole number between 0 and 59" type="decimal" errorStyle="stop" operator="between">
      <formula1>0</formula1>
      <formula2>59</formula2>
    </dataValidation>
    <dataValidation sqref="C16" showDropDown="0" showInputMessage="1" showErrorMessage="1" allowBlank="1" prompt="Integer - Please enter a whole number bigger than 0" type="decimal" errorStyle="stop" operator="greaterThan">
      <formula1>0</formula1>
      <formula2>0</formula2>
    </dataValidation>
    <dataValidation sqref="C4" showDropDown="0" showInputMessage="1" showErrorMessage="1" allowBlank="1" prompt="Currency code - Select a valid currency from the list. Currency codes are maintained on the &quot;Constants&quot; sheet" type="list" errorStyle="stop" operator="equal">
      <formula1>'Countries, Currencies'!$E$3:$E$181</formula1>
      <formula2>0</formula2>
    </dataValidation>
    <dataValidation sqref="C5:C6 C11:C15" showDropDown="0" showInputMessage="1" showErrorMessage="1" allowBlank="1" prompt="Boolean - Select 1 (True) or 0 (False) from the drop-down menu" type="list" errorStyle="stop" operator="equal">
      <formula1>"0,1"</formula1>
      <formula2>0</formula2>
    </dataValidation>
    <dataValidation sqref="C7" showDropDown="0" showInputMessage="1" showErrorMessage="1" allowBlank="1" prompt="Member discount % - The discount percentage entered here, is applied to the prices for clients flagged as 'members', normally co-operative members or associates deserving of this discount" type="decimal" errorStyle="stop" operator="between">
      <formula1>0</formula1>
      <formula2>100</formula2>
    </dataValidation>
    <dataValidation sqref="C8" showDropDown="0" showInputMessage="1" showErrorMessage="1" allowBlank="1" prompt="Value added tax % - Enter percentage value eg. 14.0.  This percentage is applied system-wide but can be overwrittem on individual items" type="decimal" errorStyle="stop" operator="between">
      <formula1>0</formula1>
      <formula2>100</formula2>
    </dataValidation>
    <dataValidation sqref="C9" showDropDown="0" showInputMessage="1" showErrorMessage="1" allowBlank="1" prompt="Minimum number of results for QC stats calculations - Using too few data points does not make statistical sense.  Set an acceptable minimum number of results before QC statistics will be calculated and plotted" type="decimal" errorStyle="stop" operator="greaterThan">
      <formula1>0</formula1>
      <formula2>0</formula2>
    </dataValidation>
    <dataValidation sqref="C10" showDropDown="0" showInputMessage="1" showErrorMessage="1" allowBlank="1" prompt="Maximum columns per results email - Set the maximum number of analysis requests per results email. Too many columns per email are difficult to read for some clients who prefer fewer results per email" type="decimal" errorStyle="stop" operator="greaterThan">
      <formula1>0</formula1>
      <formula2>0</formula2>
    </dataValidation>
    <dataValidation sqref="C19" showDropDown="0" showInputMessage="1" showErrorMessage="1" allowBlank="1" prompt="Select a valid option - Select 'Register' if you want labels to be automatically printed when new ARs or sample records are created. Select 'Receive' to print labels when ARs or Samples are received. Select 'None' to disable automatic printing" type="list" errorStyle="stop" operator="equal">
      <formula1>"none,register,receive"</formula1>
      <formula2>0</formula2>
    </dataValidation>
    <dataValidation sqref="D19" showDropDown="0" showInputMessage="1" showErrorMessage="1" allowBlank="1" prompt="Default sample retention period - The number of days before a sample expires and cannot be analysed any more. This setting can be overwritten per individual sample type  in the sample types setup" type="decimal" errorStyle="stop" operator="greaterThan">
      <formula1>0</formula1>
      <formula2>0</formula2>
    </dataValidation>
    <dataValidation sqref="C20" showDropDown="0" showInputMessage="1" showErrorMessage="1" allowBlank="1" prompt="Sample label size - Select the which label to print when automatic label printing is enabled" type="list" errorStyle="stop" operator="equal">
      <formula1>"normal,small"</formula1>
      <formula2>0</formula2>
    </dataValidation>
    <dataValidation sqref="C21" showDropDown="0" showInputMessage="0" showErrorMessage="0" allowBlank="1" type="list" errorStyle="stop" operator="equal">
      <formula1>'Countries, Currencies'!$B$3:$B23</formula1>
      <formula2>0</formula2>
    </dataValidation>
  </dataValidation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49.xml><?xml version="1.0" encoding="utf-8"?>
<worksheet xmlns="http://schemas.openxmlformats.org/spreadsheetml/2006/main">
  <sheetPr filterMode="0">
    <tabColor rgb="FF000000"/>
    <outlinePr summaryBelow="1" summaryRight="1"/>
    <pageSetUpPr fitToPage="0"/>
  </sheetPr>
  <dimension ref="A1:N25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13.73" customWidth="1" style="289" min="1" max="1"/>
    <col width="12.47" customWidth="1" style="289" min="2" max="2"/>
    <col width="13.48" customWidth="1" style="289" min="3" max="3"/>
    <col width="19.15" customWidth="1" style="289" min="4" max="4"/>
    <col width="18.14" customWidth="1" style="289" min="5" max="5"/>
    <col width="14.11" customWidth="1" style="289" min="6" max="6"/>
    <col width="15.11" customWidth="1" style="289" min="7" max="7"/>
    <col width="14.99" customWidth="1" style="289" min="8" max="8"/>
    <col width="16.13" customWidth="1" style="289" min="9" max="9"/>
    <col width="10.34" customWidth="1" style="289" min="10" max="10"/>
    <col width="12.72" customWidth="1" style="289" min="11" max="12"/>
    <col width="17.63" customWidth="1" style="289" min="13" max="13"/>
    <col width="12.72" customWidth="1" style="289" min="14" max="1024"/>
  </cols>
  <sheetData>
    <row r="1" ht="24" customHeight="1" s="290">
      <c r="A1" s="559" t="inlineStr">
        <is>
          <t>Authorisation</t>
        </is>
      </c>
      <c r="B1" s="414" t="n"/>
      <c r="C1" s="559" t="inlineStr">
        <is>
          <t>Options</t>
        </is>
      </c>
      <c r="D1" s="414" t="n"/>
      <c r="E1" s="559" t="inlineStr">
        <is>
          <t>Auto Labels</t>
        </is>
      </c>
      <c r="F1" s="414" t="n"/>
      <c r="G1" s="560" t="inlineStr">
        <is>
          <t>Boolean</t>
        </is>
      </c>
      <c r="H1" s="560" t="inlineStr">
        <is>
          <t>Publication Preferences</t>
        </is>
      </c>
      <c r="I1" s="560" t="inlineStr">
        <is>
          <t>North South</t>
        </is>
      </c>
      <c r="J1" s="560" t="inlineStr">
        <is>
          <t>East West</t>
        </is>
      </c>
      <c r="K1" s="560" t="inlineStr">
        <is>
          <t>Point of capture</t>
        </is>
      </c>
      <c r="L1" s="559" t="inlineStr">
        <is>
          <t>Country</t>
        </is>
      </c>
      <c r="M1" s="415" t="n"/>
      <c r="N1" s="414" t="n"/>
    </row>
    <row r="2" ht="24" customHeight="1" s="290">
      <c r="A2" s="560" t="inlineStr">
        <is>
          <t>Groups</t>
        </is>
      </c>
      <c r="B2" s="560" t="inlineStr">
        <is>
          <t>Roles</t>
        </is>
      </c>
      <c r="C2" s="560" t="inlineStr">
        <is>
          <t>Sample Import</t>
        </is>
      </c>
      <c r="D2" s="560" t="inlineStr">
        <is>
          <t>Results Attachment</t>
        </is>
      </c>
      <c r="E2" s="560" t="inlineStr">
        <is>
          <t>Size</t>
        </is>
      </c>
      <c r="F2" s="560" t="inlineStr">
        <is>
          <t>When</t>
        </is>
      </c>
      <c r="G2" s="561" t="n"/>
      <c r="H2" s="561" t="n"/>
      <c r="I2" s="561" t="n"/>
      <c r="J2" s="561" t="n"/>
      <c r="K2" s="561" t="n"/>
      <c r="L2" s="560" t="inlineStr">
        <is>
          <t>Number</t>
        </is>
      </c>
      <c r="M2" s="560" t="inlineStr">
        <is>
          <t>Title</t>
        </is>
      </c>
      <c r="N2" s="560" t="inlineStr">
        <is>
          <t>Code</t>
        </is>
      </c>
    </row>
    <row r="3" ht="21" customHeight="1" s="290">
      <c r="A3" s="317" t="inlineStr">
        <is>
          <t>Analysts</t>
        </is>
      </c>
      <c r="B3" s="317" t="inlineStr">
        <is>
          <t>Analyst</t>
        </is>
      </c>
      <c r="C3" s="554" t="inlineStr">
        <is>
          <t>Classic</t>
        </is>
      </c>
      <c r="D3" s="554" t="inlineStr">
        <is>
          <t>Not Permitted</t>
        </is>
      </c>
      <c r="E3" s="554" t="inlineStr">
        <is>
          <t>normal</t>
        </is>
      </c>
      <c r="F3" s="337" t="inlineStr">
        <is>
          <t>receive</t>
        </is>
      </c>
      <c r="G3" s="337" t="n">
        <v>0</v>
      </c>
      <c r="H3" s="337" t="inlineStr">
        <is>
          <t>email</t>
        </is>
      </c>
      <c r="I3" s="337" t="inlineStr">
        <is>
          <t>N</t>
        </is>
      </c>
      <c r="J3" s="337" t="inlineStr">
        <is>
          <t>E</t>
        </is>
      </c>
      <c r="K3" s="562" t="inlineStr">
        <is>
          <t>field</t>
        </is>
      </c>
      <c r="L3" s="562" t="n">
        <v>4</v>
      </c>
      <c r="M3" s="563" t="inlineStr">
        <is>
          <t>Afghanistan</t>
        </is>
      </c>
      <c r="N3" s="562" t="inlineStr">
        <is>
          <t>AF</t>
        </is>
      </c>
    </row>
    <row r="4" ht="21" customHeight="1" s="290">
      <c r="A4" s="317" t="inlineStr">
        <is>
          <t>LabClerks</t>
        </is>
      </c>
      <c r="B4" s="317" t="inlineStr">
        <is>
          <t>LabClerk</t>
        </is>
      </c>
      <c r="C4" s="554" t="inlineStr">
        <is>
          <t>Profiles</t>
        </is>
      </c>
      <c r="D4" s="554" t="inlineStr">
        <is>
          <t>Permitted</t>
        </is>
      </c>
      <c r="E4" s="554" t="inlineStr">
        <is>
          <t>small</t>
        </is>
      </c>
      <c r="F4" s="337" t="inlineStr">
        <is>
          <t>register</t>
        </is>
      </c>
      <c r="G4" s="337" t="n">
        <v>1</v>
      </c>
      <c r="H4" s="337" t="inlineStr">
        <is>
          <t>pdf</t>
        </is>
      </c>
      <c r="I4" s="337" t="inlineStr">
        <is>
          <t>S</t>
        </is>
      </c>
      <c r="J4" s="337" t="inlineStr">
        <is>
          <t>W</t>
        </is>
      </c>
      <c r="K4" s="562" t="inlineStr">
        <is>
          <t>lab</t>
        </is>
      </c>
      <c r="L4" s="562" t="n">
        <v>248</v>
      </c>
      <c r="M4" s="563" t="inlineStr">
        <is>
          <t>Åland Islands</t>
        </is>
      </c>
      <c r="N4" s="562" t="inlineStr">
        <is>
          <t>AX</t>
        </is>
      </c>
    </row>
    <row r="5" ht="21" customHeight="1" s="290">
      <c r="A5" s="317" t="inlineStr">
        <is>
          <t>LabManagers</t>
        </is>
      </c>
      <c r="B5" s="317" t="inlineStr">
        <is>
          <t>LabManager</t>
        </is>
      </c>
      <c r="C5" s="554" t="inlineStr">
        <is>
          <t>Special</t>
        </is>
      </c>
      <c r="D5" s="554" t="inlineStr">
        <is>
          <t>Required</t>
        </is>
      </c>
      <c r="E5" s="554" t="n"/>
      <c r="F5" s="337" t="inlineStr">
        <is>
          <t>none</t>
        </is>
      </c>
      <c r="G5" s="337" t="n"/>
      <c r="H5" s="337" t="inlineStr">
        <is>
          <t>email,pdf</t>
        </is>
      </c>
      <c r="I5" s="337" t="n"/>
      <c r="J5" s="337" t="n"/>
      <c r="K5" s="562" t="n"/>
      <c r="L5" s="562" t="n">
        <v>8</v>
      </c>
      <c r="M5" s="563" t="inlineStr">
        <is>
          <t>Albania</t>
        </is>
      </c>
      <c r="N5" s="562" t="inlineStr">
        <is>
          <t>AL</t>
        </is>
      </c>
    </row>
    <row r="6" ht="21" customHeight="1" s="290">
      <c r="A6" s="317" t="inlineStr">
        <is>
          <t>Preservers</t>
        </is>
      </c>
      <c r="B6" s="317" t="inlineStr">
        <is>
          <t>Preserver</t>
        </is>
      </c>
      <c r="C6" s="554" t="n"/>
      <c r="D6" s="554" t="n"/>
      <c r="E6" s="554" t="n"/>
      <c r="F6" s="337" t="n"/>
      <c r="G6" s="337" t="n"/>
      <c r="H6" s="337" t="n"/>
      <c r="I6" s="337" t="n"/>
      <c r="J6" s="337" t="n"/>
      <c r="K6" s="562" t="n"/>
      <c r="L6" s="562" t="n">
        <v>12</v>
      </c>
      <c r="M6" s="563" t="inlineStr">
        <is>
          <t>Algeria</t>
        </is>
      </c>
      <c r="N6" s="562" t="inlineStr">
        <is>
          <t>DZ</t>
        </is>
      </c>
    </row>
    <row r="7" ht="21" customHeight="1" s="290">
      <c r="A7" s="317" t="inlineStr">
        <is>
          <t>Publishers</t>
        </is>
      </c>
      <c r="B7" s="317" t="inlineStr">
        <is>
          <t>Publisher</t>
        </is>
      </c>
      <c r="C7" s="554" t="n"/>
      <c r="D7" s="554" t="n"/>
      <c r="E7" s="337" t="n"/>
      <c r="F7" s="337" t="n"/>
      <c r="G7" s="337" t="n"/>
      <c r="H7" s="337" t="n"/>
      <c r="I7" s="337" t="n"/>
      <c r="J7" s="337" t="n"/>
      <c r="K7" s="562" t="n"/>
      <c r="L7" s="562" t="n">
        <v>16</v>
      </c>
      <c r="M7" s="563" t="inlineStr">
        <is>
          <t>American Samoa</t>
        </is>
      </c>
      <c r="N7" s="562" t="inlineStr">
        <is>
          <t>AS</t>
        </is>
      </c>
    </row>
    <row r="8" ht="21" customHeight="1" s="290">
      <c r="A8" s="317" t="inlineStr">
        <is>
          <t>Regulatory Inspector</t>
        </is>
      </c>
      <c r="B8" s="317" t="inlineStr">
        <is>
          <t>Sampler</t>
        </is>
      </c>
      <c r="C8" s="337" t="n"/>
      <c r="D8" s="337" t="n"/>
      <c r="E8" s="337" t="n"/>
      <c r="F8" s="337" t="n"/>
      <c r="G8" s="337" t="n"/>
      <c r="H8" s="337" t="n"/>
      <c r="I8" s="337" t="n"/>
      <c r="J8" s="337" t="n"/>
      <c r="K8" s="562" t="n"/>
      <c r="L8" s="562" t="n">
        <v>20</v>
      </c>
      <c r="M8" s="563" t="inlineStr">
        <is>
          <t>Andorra</t>
        </is>
      </c>
      <c r="N8" s="562" t="inlineStr">
        <is>
          <t>AD</t>
        </is>
      </c>
    </row>
    <row r="9" ht="21" customHeight="1" s="290">
      <c r="A9" s="317" t="inlineStr">
        <is>
          <t>Samplers</t>
        </is>
      </c>
      <c r="B9" s="317" t="inlineStr">
        <is>
          <t>Verifier</t>
        </is>
      </c>
      <c r="C9" s="337" t="n"/>
      <c r="D9" s="337" t="n"/>
      <c r="E9" s="337" t="n"/>
      <c r="F9" s="337" t="n"/>
      <c r="G9" s="337" t="n"/>
      <c r="H9" s="337" t="n"/>
      <c r="I9" s="337" t="n"/>
      <c r="J9" s="337" t="n"/>
      <c r="K9" s="562" t="n"/>
      <c r="L9" s="562" t="n">
        <v>24</v>
      </c>
      <c r="M9" s="563" t="inlineStr">
        <is>
          <t>Angola</t>
        </is>
      </c>
      <c r="N9" s="562" t="inlineStr">
        <is>
          <t>AO</t>
        </is>
      </c>
    </row>
    <row r="10" ht="21" customHeight="1" s="290">
      <c r="A10" s="317" t="inlineStr">
        <is>
          <t>Verifiers</t>
        </is>
      </c>
      <c r="B10" s="317" t="n"/>
      <c r="C10" s="337" t="n"/>
      <c r="D10" s="337" t="n"/>
      <c r="E10" s="337" t="n"/>
      <c r="F10" s="337" t="n"/>
      <c r="G10" s="337" t="n"/>
      <c r="H10" s="337" t="n"/>
      <c r="I10" s="337" t="n"/>
      <c r="J10" s="337" t="n"/>
      <c r="K10" s="562" t="n"/>
      <c r="L10" s="562" t="n">
        <v>660</v>
      </c>
      <c r="M10" s="563" t="inlineStr">
        <is>
          <t>Anguilla</t>
        </is>
      </c>
      <c r="N10" s="562" t="inlineStr">
        <is>
          <t>AI</t>
        </is>
      </c>
    </row>
    <row r="11" ht="21" customHeight="1" s="290">
      <c r="A11" s="317" t="n"/>
      <c r="B11" s="317" t="n"/>
      <c r="C11" s="554" t="n"/>
      <c r="D11" s="554" t="n"/>
      <c r="E11" s="554" t="n"/>
      <c r="F11" s="337" t="n"/>
      <c r="G11" s="337" t="n"/>
      <c r="H11" s="337" t="n"/>
      <c r="I11" s="337" t="n"/>
      <c r="J11" s="337" t="n"/>
      <c r="K11" s="337" t="n"/>
      <c r="L11" s="337" t="n">
        <v>10</v>
      </c>
      <c r="M11" s="317" t="inlineStr">
        <is>
          <t>Antarctica</t>
        </is>
      </c>
      <c r="N11" s="337" t="inlineStr">
        <is>
          <t>AQ</t>
        </is>
      </c>
    </row>
    <row r="12" ht="26.25" customHeight="1" s="290">
      <c r="A12" s="376" t="inlineStr">
        <is>
          <t>Salutation</t>
        </is>
      </c>
      <c r="B12" s="376" t="inlineStr">
        <is>
          <t>Currency</t>
        </is>
      </c>
      <c r="C12" s="376" t="inlineStr">
        <is>
          <t>Partitions</t>
        </is>
      </c>
      <c r="D12" s="376" t="inlineStr">
        <is>
          <t>Worksheet template analysis types</t>
        </is>
      </c>
      <c r="E12" s="376" t="inlineStr">
        <is>
          <t>Client types</t>
        </is>
      </c>
      <c r="F12" s="376" t="inlineStr">
        <is>
          <t>Gender</t>
        </is>
      </c>
      <c r="G12" s="564" t="inlineStr">
        <is>
          <t>Instrument Task Types</t>
        </is>
      </c>
      <c r="J12" s="565" t="n"/>
      <c r="K12" s="565" t="n"/>
      <c r="L12" s="337" t="n">
        <v>28</v>
      </c>
      <c r="M12" s="317" t="inlineStr">
        <is>
          <t>Antigua and Barbuda</t>
        </is>
      </c>
      <c r="N12" s="337" t="inlineStr">
        <is>
          <t>AG</t>
        </is>
      </c>
    </row>
    <row r="13" ht="33.75" customHeight="1" s="290">
      <c r="G13" s="565" t="inlineStr">
        <is>
          <t xml:space="preserve"> Maintenance</t>
        </is>
      </c>
      <c r="H13" s="565" t="inlineStr">
        <is>
          <t xml:space="preserve"> Scheduled</t>
        </is>
      </c>
      <c r="I13" s="565" t="inlineStr">
        <is>
          <t>Repeat unit</t>
        </is>
      </c>
      <c r="J13" s="565" t="n"/>
      <c r="K13" s="565" t="n"/>
      <c r="L13" s="337" t="n">
        <v>32</v>
      </c>
      <c r="M13" s="317" t="inlineStr">
        <is>
          <t>Argentina</t>
        </is>
      </c>
      <c r="N13" s="337" t="inlineStr">
        <is>
          <t>AR</t>
        </is>
      </c>
    </row>
    <row r="14" ht="18" customHeight="1" s="290">
      <c r="A14" s="337" t="inlineStr">
        <is>
          <t>Mr</t>
        </is>
      </c>
      <c r="B14" s="337" t="inlineStr">
        <is>
          <t>AED</t>
        </is>
      </c>
      <c r="C14" s="554" t="inlineStr">
        <is>
          <t>part-1</t>
        </is>
      </c>
      <c r="D14" s="554" t="inlineStr">
        <is>
          <t>Blank</t>
        </is>
      </c>
      <c r="E14" s="554" t="inlineStr">
        <is>
          <t>Corporate</t>
        </is>
      </c>
      <c r="F14" s="337" t="inlineStr">
        <is>
          <t>Male</t>
        </is>
      </c>
      <c r="G14" s="337" t="inlineStr">
        <is>
          <t>Preventive</t>
        </is>
      </c>
      <c r="H14" s="337" t="inlineStr">
        <is>
          <t>Preventive</t>
        </is>
      </c>
      <c r="I14" s="337" t="inlineStr">
        <is>
          <t>Days</t>
        </is>
      </c>
      <c r="J14" s="337" t="n"/>
      <c r="K14" s="337" t="n"/>
      <c r="L14" s="337" t="n">
        <v>51</v>
      </c>
      <c r="M14" s="317" t="inlineStr">
        <is>
          <t>Armenia</t>
        </is>
      </c>
      <c r="N14" s="337" t="inlineStr">
        <is>
          <t>AM</t>
        </is>
      </c>
    </row>
    <row r="15" ht="18" customHeight="1" s="290">
      <c r="A15" s="337" t="inlineStr">
        <is>
          <t>Ms</t>
        </is>
      </c>
      <c r="B15" s="337" t="inlineStr">
        <is>
          <t>AFN</t>
        </is>
      </c>
      <c r="C15" s="554" t="inlineStr">
        <is>
          <t>part-2</t>
        </is>
      </c>
      <c r="D15" s="554" t="inlineStr">
        <is>
          <t>Control</t>
        </is>
      </c>
      <c r="E15" s="554" t="inlineStr">
        <is>
          <t>Non-corporate</t>
        </is>
      </c>
      <c r="F15" s="337" t="inlineStr">
        <is>
          <t>Female</t>
        </is>
      </c>
      <c r="G15" s="337" t="inlineStr">
        <is>
          <t>Repair</t>
        </is>
      </c>
      <c r="H15" s="337" t="inlineStr">
        <is>
          <t>Repair</t>
        </is>
      </c>
      <c r="I15" s="337" t="inlineStr">
        <is>
          <t>Weeks</t>
        </is>
      </c>
      <c r="J15" s="337" t="n"/>
      <c r="K15" s="337" t="n"/>
      <c r="L15" s="337" t="n">
        <v>533</v>
      </c>
      <c r="M15" s="317" t="inlineStr">
        <is>
          <t>Aruba</t>
        </is>
      </c>
      <c r="N15" s="337" t="inlineStr">
        <is>
          <t>AW</t>
        </is>
      </c>
    </row>
    <row r="16" ht="18" customHeight="1" s="290">
      <c r="A16" s="337" t="inlineStr">
        <is>
          <t>Dr</t>
        </is>
      </c>
      <c r="B16" s="337" t="inlineStr">
        <is>
          <t>ALL</t>
        </is>
      </c>
      <c r="C16" s="554" t="inlineStr">
        <is>
          <t>part-3</t>
        </is>
      </c>
      <c r="D16" s="554" t="inlineStr">
        <is>
          <t>Analysis</t>
        </is>
      </c>
      <c r="E16" s="554" t="n"/>
      <c r="F16" s="337" t="inlineStr">
        <is>
          <t>Don't Know</t>
        </is>
      </c>
      <c r="G16" s="337" t="inlineStr">
        <is>
          <t>Enhancement</t>
        </is>
      </c>
      <c r="H16" s="337" t="inlineStr">
        <is>
          <t>Enhancement</t>
        </is>
      </c>
      <c r="I16" s="337" t="inlineStr">
        <is>
          <t>Months</t>
        </is>
      </c>
      <c r="J16" s="337" t="n"/>
      <c r="K16" s="337" t="n"/>
      <c r="L16" s="337" t="n">
        <v>36</v>
      </c>
      <c r="M16" s="317" t="inlineStr">
        <is>
          <t>Australia</t>
        </is>
      </c>
      <c r="N16" s="337" t="inlineStr">
        <is>
          <t>AU</t>
        </is>
      </c>
    </row>
    <row r="17" ht="18" customHeight="1" s="290">
      <c r="A17" s="337" t="inlineStr">
        <is>
          <t>Prof</t>
        </is>
      </c>
      <c r="B17" s="337" t="inlineStr">
        <is>
          <t>AMD</t>
        </is>
      </c>
      <c r="C17" s="554" t="inlineStr">
        <is>
          <t>part-4</t>
        </is>
      </c>
      <c r="D17" s="554" t="inlineStr">
        <is>
          <t>Duplicate</t>
        </is>
      </c>
      <c r="E17" s="554" t="n"/>
      <c r="F17" s="337" t="n"/>
      <c r="G17" s="337" t="n"/>
      <c r="H17" s="337" t="inlineStr">
        <is>
          <t>Calibration</t>
        </is>
      </c>
      <c r="I17" s="337" t="inlineStr">
        <is>
          <t>Years</t>
        </is>
      </c>
      <c r="J17" s="337" t="n"/>
      <c r="K17" s="337" t="n"/>
      <c r="L17" s="337" t="n">
        <v>40</v>
      </c>
      <c r="M17" s="317" t="inlineStr">
        <is>
          <t>Austria</t>
        </is>
      </c>
      <c r="N17" s="337" t="inlineStr">
        <is>
          <t>AT</t>
        </is>
      </c>
    </row>
    <row r="18" ht="18" customHeight="1" s="290">
      <c r="A18" s="337" t="n"/>
      <c r="B18" s="337" t="inlineStr">
        <is>
          <t>ANG</t>
        </is>
      </c>
      <c r="C18" s="554" t="inlineStr">
        <is>
          <t>part-5</t>
        </is>
      </c>
      <c r="D18" s="554" t="n"/>
      <c r="E18" s="554" t="n"/>
      <c r="F18" s="337" t="n"/>
      <c r="G18" s="337" t="n"/>
      <c r="H18" s="337" t="inlineStr">
        <is>
          <t>Validation</t>
        </is>
      </c>
      <c r="I18" s="337" t="n"/>
      <c r="J18" s="337" t="n"/>
      <c r="K18" s="337" t="n"/>
      <c r="L18" s="337" t="n">
        <v>31</v>
      </c>
      <c r="M18" s="317" t="inlineStr">
        <is>
          <t>Azerbaijan</t>
        </is>
      </c>
      <c r="N18" s="337" t="inlineStr">
        <is>
          <t>AZ</t>
        </is>
      </c>
    </row>
    <row r="19" ht="18" customHeight="1" s="290">
      <c r="A19" s="337" t="n"/>
      <c r="B19" s="337" t="inlineStr">
        <is>
          <t>AOA</t>
        </is>
      </c>
      <c r="C19" s="554" t="inlineStr">
        <is>
          <t>part-6</t>
        </is>
      </c>
      <c r="D19" s="554" t="n"/>
      <c r="E19" s="554" t="n"/>
      <c r="F19" s="337" t="n"/>
      <c r="G19" s="337" t="n"/>
      <c r="H19" s="337" t="n"/>
      <c r="I19" s="337" t="n"/>
      <c r="J19" s="337" t="n"/>
      <c r="K19" s="337" t="n"/>
      <c r="L19" s="337" t="n">
        <v>44</v>
      </c>
      <c r="M19" s="317" t="inlineStr">
        <is>
          <t>Bahamas</t>
        </is>
      </c>
      <c r="N19" s="337" t="inlineStr">
        <is>
          <t>BS</t>
        </is>
      </c>
    </row>
    <row r="20" ht="18" customHeight="1" s="290">
      <c r="A20" s="337" t="n"/>
      <c r="B20" s="337" t="inlineStr">
        <is>
          <t>ARS</t>
        </is>
      </c>
      <c r="C20" s="554" t="inlineStr">
        <is>
          <t>part-7</t>
        </is>
      </c>
      <c r="D20" s="554" t="n"/>
      <c r="E20" s="554" t="n"/>
      <c r="F20" s="337" t="n"/>
      <c r="G20" s="337" t="n"/>
      <c r="H20" s="337" t="n"/>
      <c r="I20" s="337" t="n"/>
      <c r="J20" s="337" t="n"/>
      <c r="K20" s="337" t="n"/>
      <c r="L20" s="337" t="n">
        <v>48</v>
      </c>
      <c r="M20" s="317" t="inlineStr">
        <is>
          <t>Bahrain</t>
        </is>
      </c>
      <c r="N20" s="337" t="inlineStr">
        <is>
          <t>BH</t>
        </is>
      </c>
    </row>
    <row r="21" ht="18" customHeight="1" s="290">
      <c r="A21" s="337" t="n"/>
      <c r="B21" s="337" t="inlineStr">
        <is>
          <t>AUD</t>
        </is>
      </c>
      <c r="C21" s="554" t="inlineStr">
        <is>
          <t>part-8</t>
        </is>
      </c>
      <c r="D21" s="554" t="n"/>
      <c r="E21" s="554" t="n"/>
      <c r="F21" s="337" t="n"/>
      <c r="G21" s="337" t="n"/>
      <c r="H21" s="337" t="n"/>
      <c r="I21" s="337" t="n"/>
      <c r="J21" s="337" t="n"/>
      <c r="K21" s="337" t="n"/>
      <c r="L21" s="337" t="n">
        <v>50</v>
      </c>
      <c r="M21" s="317" t="inlineStr">
        <is>
          <t>Bangladesh</t>
        </is>
      </c>
      <c r="N21" s="337" t="inlineStr">
        <is>
          <t>BD</t>
        </is>
      </c>
    </row>
    <row r="22" ht="18" customHeight="1" s="290">
      <c r="A22" s="337" t="n"/>
      <c r="B22" s="337" t="inlineStr">
        <is>
          <t>AWG</t>
        </is>
      </c>
      <c r="C22" s="554" t="inlineStr">
        <is>
          <t>part-9</t>
        </is>
      </c>
      <c r="D22" s="554" t="n"/>
      <c r="E22" s="554" t="n"/>
      <c r="F22" s="337" t="n"/>
      <c r="G22" s="337" t="n"/>
      <c r="H22" s="337" t="n"/>
      <c r="I22" s="337" t="n"/>
      <c r="J22" s="337" t="n"/>
      <c r="K22" s="337" t="n"/>
      <c r="L22" s="337" t="n">
        <v>52</v>
      </c>
      <c r="M22" s="317" t="inlineStr">
        <is>
          <t>Barbados</t>
        </is>
      </c>
      <c r="N22" s="337" t="inlineStr">
        <is>
          <t>BB</t>
        </is>
      </c>
    </row>
    <row r="23" ht="18" customHeight="1" s="290">
      <c r="A23" s="337" t="n"/>
      <c r="B23" s="337" t="inlineStr">
        <is>
          <t>AZN</t>
        </is>
      </c>
      <c r="C23" s="554" t="inlineStr">
        <is>
          <t>part-10</t>
        </is>
      </c>
      <c r="D23" s="554" t="n"/>
      <c r="E23" s="554" t="n"/>
      <c r="F23" s="337" t="n"/>
      <c r="G23" s="337" t="n"/>
      <c r="H23" s="337" t="n"/>
      <c r="I23" s="337" t="n"/>
      <c r="J23" s="337" t="n"/>
      <c r="K23" s="337" t="n"/>
      <c r="L23" s="337" t="n">
        <v>112</v>
      </c>
      <c r="M23" s="317" t="inlineStr">
        <is>
          <t>Belarus</t>
        </is>
      </c>
      <c r="N23" s="337" t="inlineStr">
        <is>
          <t>BY</t>
        </is>
      </c>
    </row>
    <row r="24" ht="18" customHeight="1" s="290">
      <c r="A24" s="337" t="n"/>
      <c r="B24" s="337" t="inlineStr">
        <is>
          <t>BAM</t>
        </is>
      </c>
      <c r="C24" s="554" t="inlineStr">
        <is>
          <t>part-11</t>
        </is>
      </c>
      <c r="D24" s="554" t="n"/>
      <c r="E24" s="554" t="n"/>
      <c r="F24" s="337" t="n"/>
      <c r="G24" s="337" t="n"/>
      <c r="H24" s="337" t="n"/>
      <c r="I24" s="337" t="n"/>
      <c r="J24" s="337" t="n"/>
      <c r="K24" s="337" t="n"/>
      <c r="L24" s="337" t="n">
        <v>56</v>
      </c>
      <c r="M24" s="317" t="inlineStr">
        <is>
          <t>Belgium</t>
        </is>
      </c>
      <c r="N24" s="337" t="inlineStr">
        <is>
          <t>BE</t>
        </is>
      </c>
    </row>
    <row r="25" ht="18" customHeight="1" s="290">
      <c r="A25" s="337" t="n"/>
      <c r="B25" s="337" t="inlineStr">
        <is>
          <t>BBD</t>
        </is>
      </c>
      <c r="C25" s="554" t="inlineStr">
        <is>
          <t>part-12</t>
        </is>
      </c>
      <c r="D25" s="554" t="n"/>
      <c r="E25" s="554" t="n"/>
      <c r="F25" s="337" t="n"/>
      <c r="G25" s="337" t="n"/>
      <c r="H25" s="337" t="n"/>
      <c r="I25" s="337" t="n"/>
      <c r="J25" s="337" t="n"/>
      <c r="K25" s="337" t="n"/>
      <c r="L25" s="337" t="n">
        <v>84</v>
      </c>
      <c r="M25" s="317" t="inlineStr">
        <is>
          <t>Belize</t>
        </is>
      </c>
      <c r="N25" s="337" t="inlineStr">
        <is>
          <t>BZ</t>
        </is>
      </c>
    </row>
    <row r="26" ht="18" customHeight="1" s="290">
      <c r="A26" s="337" t="n"/>
      <c r="B26" s="337" t="inlineStr">
        <is>
          <t>BDT</t>
        </is>
      </c>
      <c r="C26" s="554" t="n"/>
      <c r="D26" s="554" t="n"/>
      <c r="E26" s="554" t="n"/>
      <c r="F26" s="337" t="n"/>
      <c r="G26" s="337" t="n"/>
      <c r="H26" s="337" t="n"/>
      <c r="I26" s="337" t="n"/>
      <c r="J26" s="337" t="n"/>
      <c r="K26" s="337" t="n"/>
      <c r="L26" s="337" t="n">
        <v>204</v>
      </c>
      <c r="M26" s="317" t="inlineStr">
        <is>
          <t>Benin</t>
        </is>
      </c>
      <c r="N26" s="337" t="inlineStr">
        <is>
          <t>BJ</t>
        </is>
      </c>
    </row>
    <row r="27" ht="18" customHeight="1" s="290">
      <c r="A27" s="317" t="n"/>
      <c r="B27" s="337" t="inlineStr">
        <is>
          <t>BGN</t>
        </is>
      </c>
      <c r="C27" s="554" t="n"/>
      <c r="D27" s="554" t="n"/>
      <c r="E27" s="554" t="n"/>
      <c r="F27" s="337" t="n"/>
      <c r="G27" s="337" t="n"/>
      <c r="H27" s="337" t="n"/>
      <c r="I27" s="337" t="n"/>
      <c r="J27" s="337" t="n"/>
      <c r="K27" s="337" t="n"/>
      <c r="L27" s="337" t="n">
        <v>60</v>
      </c>
      <c r="M27" s="317" t="inlineStr">
        <is>
          <t>Bermuda</t>
        </is>
      </c>
      <c r="N27" s="337" t="inlineStr">
        <is>
          <t>BM</t>
        </is>
      </c>
    </row>
    <row r="28" ht="18" customHeight="1" s="290">
      <c r="A28" s="317" t="n"/>
      <c r="B28" s="337" t="inlineStr">
        <is>
          <t>BHD</t>
        </is>
      </c>
      <c r="C28" s="554" t="n"/>
      <c r="D28" s="554" t="n"/>
      <c r="E28" s="554" t="n"/>
      <c r="F28" s="337" t="n"/>
      <c r="G28" s="337" t="n"/>
      <c r="H28" s="337" t="n"/>
      <c r="I28" s="337" t="n"/>
      <c r="J28" s="337" t="n"/>
      <c r="K28" s="337" t="n"/>
      <c r="L28" s="337" t="n">
        <v>64</v>
      </c>
      <c r="M28" s="317" t="inlineStr">
        <is>
          <t>Bhutan</t>
        </is>
      </c>
      <c r="N28" s="337" t="inlineStr">
        <is>
          <t>BT</t>
        </is>
      </c>
    </row>
    <row r="29" ht="18" customHeight="1" s="290">
      <c r="A29" s="317" t="n"/>
      <c r="B29" s="337" t="inlineStr">
        <is>
          <t>BIF</t>
        </is>
      </c>
      <c r="C29" s="554" t="n"/>
      <c r="D29" s="554" t="n"/>
      <c r="E29" s="554" t="n"/>
      <c r="F29" s="337" t="n"/>
      <c r="G29" s="337" t="n"/>
      <c r="H29" s="337" t="n"/>
      <c r="I29" s="337" t="n"/>
      <c r="J29" s="337" t="n"/>
      <c r="K29" s="337" t="n"/>
      <c r="L29" s="337" t="n">
        <v>68</v>
      </c>
      <c r="M29" s="317" t="inlineStr">
        <is>
          <t>Bolivia, Plurinational State of</t>
        </is>
      </c>
      <c r="N29" s="337" t="inlineStr">
        <is>
          <t>BO</t>
        </is>
      </c>
    </row>
    <row r="30" ht="18" customHeight="1" s="290">
      <c r="A30" s="317" t="n"/>
      <c r="B30" s="337" t="inlineStr">
        <is>
          <t>BMD</t>
        </is>
      </c>
      <c r="C30" s="554" t="n"/>
      <c r="D30" s="554" t="n"/>
      <c r="E30" s="554" t="n"/>
      <c r="F30" s="337" t="n"/>
      <c r="G30" s="337" t="n"/>
      <c r="H30" s="337" t="n"/>
      <c r="I30" s="337" t="n"/>
      <c r="J30" s="337" t="n"/>
      <c r="K30" s="337" t="n"/>
      <c r="L30" s="337" t="n">
        <v>535</v>
      </c>
      <c r="M30" s="317" t="inlineStr">
        <is>
          <t>Bonaire, Sint Eustatius and Saba</t>
        </is>
      </c>
      <c r="N30" s="337" t="inlineStr">
        <is>
          <t>BQ</t>
        </is>
      </c>
    </row>
    <row r="31" ht="18" customHeight="1" s="290">
      <c r="A31" s="317" t="n"/>
      <c r="B31" s="337" t="inlineStr">
        <is>
          <t>BND</t>
        </is>
      </c>
      <c r="C31" s="554" t="n"/>
      <c r="D31" s="554" t="n"/>
      <c r="E31" s="554" t="n"/>
      <c r="F31" s="337" t="n"/>
      <c r="G31" s="337" t="n"/>
      <c r="H31" s="337" t="n"/>
      <c r="I31" s="337" t="n"/>
      <c r="J31" s="337" t="n"/>
      <c r="K31" s="337" t="n"/>
      <c r="L31" s="337" t="n">
        <v>70</v>
      </c>
      <c r="M31" s="317" t="inlineStr">
        <is>
          <t>Bosnia and Herzegovina</t>
        </is>
      </c>
      <c r="N31" s="337" t="inlineStr">
        <is>
          <t>BA</t>
        </is>
      </c>
    </row>
    <row r="32" ht="18" customHeight="1" s="290">
      <c r="A32" s="317" t="n"/>
      <c r="B32" s="337" t="inlineStr">
        <is>
          <t>BOB</t>
        </is>
      </c>
      <c r="C32" s="554" t="n"/>
      <c r="D32" s="554" t="n"/>
      <c r="E32" s="554" t="n"/>
      <c r="F32" s="337" t="n"/>
      <c r="G32" s="337" t="n"/>
      <c r="H32" s="337" t="n"/>
      <c r="I32" s="337" t="n"/>
      <c r="J32" s="337" t="n"/>
      <c r="K32" s="337" t="n"/>
      <c r="L32" s="337" t="n">
        <v>72</v>
      </c>
      <c r="M32" s="317" t="inlineStr">
        <is>
          <t>Botswana</t>
        </is>
      </c>
      <c r="N32" s="337" t="inlineStr">
        <is>
          <t>BW</t>
        </is>
      </c>
    </row>
    <row r="33" ht="18" customHeight="1" s="290">
      <c r="A33" s="317" t="n"/>
      <c r="B33" s="337" t="inlineStr">
        <is>
          <t>BOV</t>
        </is>
      </c>
      <c r="C33" s="554" t="n"/>
      <c r="D33" s="554" t="n"/>
      <c r="E33" s="554" t="n"/>
      <c r="F33" s="337" t="n"/>
      <c r="G33" s="337" t="n"/>
      <c r="H33" s="337" t="n"/>
      <c r="I33" s="337" t="n"/>
      <c r="J33" s="337" t="n"/>
      <c r="K33" s="337" t="n"/>
      <c r="L33" s="337" t="n">
        <v>74</v>
      </c>
      <c r="M33" s="317" t="inlineStr">
        <is>
          <t>Bouvet Island</t>
        </is>
      </c>
      <c r="N33" s="337" t="inlineStr">
        <is>
          <t>BV</t>
        </is>
      </c>
    </row>
    <row r="34" ht="18" customHeight="1" s="290">
      <c r="A34" s="317" t="n"/>
      <c r="B34" s="337" t="inlineStr">
        <is>
          <t>BRL</t>
        </is>
      </c>
      <c r="C34" s="554" t="n"/>
      <c r="D34" s="554" t="n"/>
      <c r="E34" s="554" t="n"/>
      <c r="F34" s="337" t="n"/>
      <c r="G34" s="337" t="n"/>
      <c r="H34" s="337" t="n"/>
      <c r="I34" s="337" t="n"/>
      <c r="J34" s="337" t="n"/>
      <c r="K34" s="337" t="n"/>
      <c r="L34" s="337" t="n">
        <v>76</v>
      </c>
      <c r="M34" s="317" t="inlineStr">
        <is>
          <t>Brazil</t>
        </is>
      </c>
      <c r="N34" s="337" t="inlineStr">
        <is>
          <t>BR</t>
        </is>
      </c>
    </row>
    <row r="35" ht="18" customHeight="1" s="290">
      <c r="A35" s="317" t="n"/>
      <c r="B35" s="337" t="inlineStr">
        <is>
          <t>BSD</t>
        </is>
      </c>
      <c r="C35" s="554" t="n"/>
      <c r="D35" s="554" t="n"/>
      <c r="E35" s="554" t="n"/>
      <c r="F35" s="337" t="n"/>
      <c r="G35" s="337" t="n"/>
      <c r="H35" s="337" t="n"/>
      <c r="I35" s="337" t="n"/>
      <c r="J35" s="337" t="n"/>
      <c r="K35" s="337" t="n"/>
      <c r="L35" s="337" t="n">
        <v>86</v>
      </c>
      <c r="M35" s="317" t="inlineStr">
        <is>
          <t>British Indian Ocean Territory</t>
        </is>
      </c>
      <c r="N35" s="337" t="inlineStr">
        <is>
          <t>IO</t>
        </is>
      </c>
    </row>
    <row r="36" ht="18" customHeight="1" s="290">
      <c r="A36" s="317" t="n"/>
      <c r="B36" s="337" t="inlineStr">
        <is>
          <t>BTN</t>
        </is>
      </c>
      <c r="C36" s="554" t="n"/>
      <c r="D36" s="554" t="n"/>
      <c r="E36" s="554" t="n"/>
      <c r="F36" s="337" t="n"/>
      <c r="G36" s="337" t="n"/>
      <c r="H36" s="337" t="n"/>
      <c r="I36" s="337" t="n"/>
      <c r="J36" s="337" t="n"/>
      <c r="K36" s="337" t="n"/>
      <c r="L36" s="337" t="n">
        <v>96</v>
      </c>
      <c r="M36" s="317" t="inlineStr">
        <is>
          <t>Brunei Darussalam</t>
        </is>
      </c>
      <c r="N36" s="337" t="inlineStr">
        <is>
          <t>BN</t>
        </is>
      </c>
    </row>
    <row r="37" ht="18" customHeight="1" s="290">
      <c r="A37" s="317" t="n"/>
      <c r="B37" s="337" t="inlineStr">
        <is>
          <t>BWP</t>
        </is>
      </c>
      <c r="C37" s="554" t="n"/>
      <c r="D37" s="554" t="n"/>
      <c r="E37" s="554" t="n"/>
      <c r="F37" s="337" t="n"/>
      <c r="G37" s="337" t="n"/>
      <c r="H37" s="337" t="n"/>
      <c r="I37" s="337" t="n"/>
      <c r="J37" s="337" t="n"/>
      <c r="K37" s="337" t="n"/>
      <c r="L37" s="337" t="n">
        <v>100</v>
      </c>
      <c r="M37" s="317" t="inlineStr">
        <is>
          <t>Bulgaria</t>
        </is>
      </c>
      <c r="N37" s="337" t="inlineStr">
        <is>
          <t>BG</t>
        </is>
      </c>
    </row>
    <row r="38" ht="18" customHeight="1" s="290">
      <c r="A38" s="317" t="n"/>
      <c r="B38" s="337" t="inlineStr">
        <is>
          <t>BYR</t>
        </is>
      </c>
      <c r="C38" s="554" t="n"/>
      <c r="D38" s="554" t="n"/>
      <c r="E38" s="554" t="n"/>
      <c r="F38" s="337" t="n"/>
      <c r="G38" s="337" t="n"/>
      <c r="H38" s="337" t="n"/>
      <c r="I38" s="337" t="n"/>
      <c r="J38" s="337" t="n"/>
      <c r="K38" s="337" t="n"/>
      <c r="L38" s="337" t="n">
        <v>854</v>
      </c>
      <c r="M38" s="317" t="inlineStr">
        <is>
          <t>Burkina Faso</t>
        </is>
      </c>
      <c r="N38" s="337" t="inlineStr">
        <is>
          <t>BF</t>
        </is>
      </c>
    </row>
    <row r="39" ht="18" customHeight="1" s="290">
      <c r="A39" s="317" t="n"/>
      <c r="B39" s="337" t="inlineStr">
        <is>
          <t>BZD</t>
        </is>
      </c>
      <c r="C39" s="554" t="n"/>
      <c r="D39" s="554" t="n"/>
      <c r="E39" s="554" t="n"/>
      <c r="F39" s="337" t="n"/>
      <c r="G39" s="337" t="n"/>
      <c r="H39" s="337" t="n"/>
      <c r="I39" s="337" t="n"/>
      <c r="J39" s="337" t="n"/>
      <c r="K39" s="337" t="n"/>
      <c r="L39" s="337" t="n">
        <v>108</v>
      </c>
      <c r="M39" s="317" t="inlineStr">
        <is>
          <t>Burundi</t>
        </is>
      </c>
      <c r="N39" s="337" t="inlineStr">
        <is>
          <t>BI</t>
        </is>
      </c>
    </row>
    <row r="40" ht="18" customHeight="1" s="290">
      <c r="A40" s="317" t="n"/>
      <c r="B40" s="337" t="inlineStr">
        <is>
          <t>CAD</t>
        </is>
      </c>
      <c r="C40" s="554" t="n"/>
      <c r="D40" s="554" t="n"/>
      <c r="E40" s="554" t="n"/>
      <c r="F40" s="337" t="n"/>
      <c r="G40" s="337" t="n"/>
      <c r="H40" s="337" t="n"/>
      <c r="I40" s="337" t="n"/>
      <c r="J40" s="337" t="n"/>
      <c r="K40" s="337" t="n"/>
      <c r="L40" s="337" t="n">
        <v>116</v>
      </c>
      <c r="M40" s="317" t="inlineStr">
        <is>
          <t>Cambodia</t>
        </is>
      </c>
      <c r="N40" s="337" t="inlineStr">
        <is>
          <t>KH</t>
        </is>
      </c>
    </row>
    <row r="41" ht="18" customHeight="1" s="290">
      <c r="A41" s="317" t="n"/>
      <c r="B41" s="337" t="inlineStr">
        <is>
          <t>CDF</t>
        </is>
      </c>
      <c r="C41" s="554" t="n"/>
      <c r="D41" s="554" t="n"/>
      <c r="E41" s="554" t="n"/>
      <c r="F41" s="337" t="n"/>
      <c r="G41" s="337" t="n"/>
      <c r="H41" s="337" t="n"/>
      <c r="I41" s="337" t="n"/>
      <c r="J41" s="337" t="n"/>
      <c r="K41" s="337" t="n"/>
      <c r="L41" s="337" t="n">
        <v>120</v>
      </c>
      <c r="M41" s="317" t="inlineStr">
        <is>
          <t>Cameroon</t>
        </is>
      </c>
      <c r="N41" s="337" t="inlineStr">
        <is>
          <t>CM</t>
        </is>
      </c>
    </row>
    <row r="42" ht="18" customHeight="1" s="290">
      <c r="A42" s="317" t="n"/>
      <c r="B42" s="337" t="inlineStr">
        <is>
          <t>CHE</t>
        </is>
      </c>
      <c r="C42" s="554" t="n"/>
      <c r="D42" s="554" t="n"/>
      <c r="E42" s="554" t="n"/>
      <c r="F42" s="337" t="n"/>
      <c r="G42" s="337" t="n"/>
      <c r="H42" s="337" t="n"/>
      <c r="I42" s="337" t="n"/>
      <c r="J42" s="337" t="n"/>
      <c r="K42" s="337" t="n"/>
      <c r="L42" s="337" t="n">
        <v>124</v>
      </c>
      <c r="M42" s="317" t="inlineStr">
        <is>
          <t>Canada</t>
        </is>
      </c>
      <c r="N42" s="337" t="inlineStr">
        <is>
          <t>CA</t>
        </is>
      </c>
    </row>
    <row r="43" ht="18" customHeight="1" s="290">
      <c r="A43" s="317" t="n"/>
      <c r="B43" s="337" t="inlineStr">
        <is>
          <t>CHF</t>
        </is>
      </c>
      <c r="C43" s="554" t="n"/>
      <c r="D43" s="554" t="n"/>
      <c r="E43" s="554" t="n"/>
      <c r="F43" s="337" t="n"/>
      <c r="G43" s="337" t="n"/>
      <c r="H43" s="337" t="n"/>
      <c r="I43" s="337" t="n"/>
      <c r="J43" s="337" t="n"/>
      <c r="K43" s="337" t="n"/>
      <c r="L43" s="337" t="n">
        <v>132</v>
      </c>
      <c r="M43" s="317" t="inlineStr">
        <is>
          <t>Cape Verde</t>
        </is>
      </c>
      <c r="N43" s="337" t="inlineStr">
        <is>
          <t>CV</t>
        </is>
      </c>
    </row>
    <row r="44" ht="18" customHeight="1" s="290">
      <c r="A44" s="317" t="n"/>
      <c r="B44" s="337" t="inlineStr">
        <is>
          <t>CHW</t>
        </is>
      </c>
      <c r="C44" s="554" t="n"/>
      <c r="D44" s="554" t="n"/>
      <c r="E44" s="554" t="n"/>
      <c r="F44" s="337" t="n"/>
      <c r="G44" s="337" t="n"/>
      <c r="H44" s="337" t="n"/>
      <c r="I44" s="337" t="n"/>
      <c r="J44" s="337" t="n"/>
      <c r="K44" s="337" t="n"/>
      <c r="L44" s="337" t="n">
        <v>136</v>
      </c>
      <c r="M44" s="317" t="inlineStr">
        <is>
          <t>Cayman Islands</t>
        </is>
      </c>
      <c r="N44" s="337" t="inlineStr">
        <is>
          <t>KY</t>
        </is>
      </c>
    </row>
    <row r="45" ht="18" customHeight="1" s="290">
      <c r="A45" s="317" t="n"/>
      <c r="B45" s="337" t="inlineStr">
        <is>
          <t>CLF</t>
        </is>
      </c>
      <c r="C45" s="554" t="n"/>
      <c r="D45" s="554" t="n"/>
      <c r="E45" s="554" t="n"/>
      <c r="F45" s="337" t="n"/>
      <c r="G45" s="337" t="n"/>
      <c r="H45" s="337" t="n"/>
      <c r="I45" s="337" t="n"/>
      <c r="J45" s="337" t="n"/>
      <c r="K45" s="337" t="n"/>
      <c r="L45" s="337" t="n">
        <v>140</v>
      </c>
      <c r="M45" s="317" t="inlineStr">
        <is>
          <t>Central African Republic</t>
        </is>
      </c>
      <c r="N45" s="337" t="inlineStr">
        <is>
          <t>CF</t>
        </is>
      </c>
    </row>
    <row r="46" ht="18" customHeight="1" s="290">
      <c r="A46" s="317" t="n"/>
      <c r="B46" s="337" t="inlineStr">
        <is>
          <t>CLP</t>
        </is>
      </c>
      <c r="C46" s="554" t="n"/>
      <c r="D46" s="554" t="n"/>
      <c r="E46" s="554" t="n"/>
      <c r="F46" s="337" t="n"/>
      <c r="G46" s="337" t="n"/>
      <c r="H46" s="337" t="n"/>
      <c r="I46" s="337" t="n"/>
      <c r="J46" s="337" t="n"/>
      <c r="K46" s="337" t="n"/>
      <c r="L46" s="337" t="n">
        <v>148</v>
      </c>
      <c r="M46" s="317" t="inlineStr">
        <is>
          <t>Chad</t>
        </is>
      </c>
      <c r="N46" s="337" t="inlineStr">
        <is>
          <t>TD</t>
        </is>
      </c>
    </row>
    <row r="47" ht="18" customHeight="1" s="290">
      <c r="A47" s="317" t="n"/>
      <c r="B47" s="337" t="inlineStr">
        <is>
          <t>CNY</t>
        </is>
      </c>
      <c r="C47" s="554" t="n"/>
      <c r="D47" s="554" t="n"/>
      <c r="E47" s="554" t="n"/>
      <c r="F47" s="337" t="n"/>
      <c r="G47" s="337" t="n"/>
      <c r="H47" s="337" t="n"/>
      <c r="I47" s="337" t="n"/>
      <c r="J47" s="337" t="n"/>
      <c r="K47" s="337" t="n"/>
      <c r="L47" s="337" t="n">
        <v>152</v>
      </c>
      <c r="M47" s="317" t="inlineStr">
        <is>
          <t>Chile</t>
        </is>
      </c>
      <c r="N47" s="337" t="inlineStr">
        <is>
          <t>CL</t>
        </is>
      </c>
    </row>
    <row r="48" ht="18" customHeight="1" s="290">
      <c r="A48" s="317" t="n"/>
      <c r="B48" s="337" t="inlineStr">
        <is>
          <t>COP</t>
        </is>
      </c>
      <c r="C48" s="554" t="n"/>
      <c r="D48" s="554" t="n"/>
      <c r="E48" s="554" t="n"/>
      <c r="F48" s="337" t="n"/>
      <c r="G48" s="337" t="n"/>
      <c r="H48" s="337" t="n"/>
      <c r="I48" s="337" t="n"/>
      <c r="J48" s="337" t="n"/>
      <c r="K48" s="337" t="n"/>
      <c r="L48" s="337" t="n">
        <v>156</v>
      </c>
      <c r="M48" s="317" t="inlineStr">
        <is>
          <t>China</t>
        </is>
      </c>
      <c r="N48" s="337" t="inlineStr">
        <is>
          <t>CN</t>
        </is>
      </c>
    </row>
    <row r="49" ht="18" customHeight="1" s="290">
      <c r="A49" s="317" t="n"/>
      <c r="B49" s="337" t="inlineStr">
        <is>
          <t>COU</t>
        </is>
      </c>
      <c r="C49" s="554" t="n"/>
      <c r="D49" s="554" t="n"/>
      <c r="E49" s="554" t="n"/>
      <c r="F49" s="337" t="n"/>
      <c r="G49" s="337" t="n"/>
      <c r="H49" s="337" t="n"/>
      <c r="I49" s="337" t="n"/>
      <c r="J49" s="337" t="n"/>
      <c r="K49" s="337" t="n"/>
      <c r="L49" s="337" t="n">
        <v>162</v>
      </c>
      <c r="M49" s="317" t="inlineStr">
        <is>
          <t>Christmas Island</t>
        </is>
      </c>
      <c r="N49" s="337" t="inlineStr">
        <is>
          <t>CX</t>
        </is>
      </c>
    </row>
    <row r="50" ht="18" customHeight="1" s="290">
      <c r="A50" s="317" t="n"/>
      <c r="B50" s="337" t="inlineStr">
        <is>
          <t>CRC</t>
        </is>
      </c>
      <c r="C50" s="554" t="n"/>
      <c r="D50" s="554" t="n"/>
      <c r="E50" s="554" t="n"/>
      <c r="F50" s="337" t="n"/>
      <c r="G50" s="337" t="n"/>
      <c r="H50" s="337" t="n"/>
      <c r="I50" s="337" t="n"/>
      <c r="J50" s="337" t="n"/>
      <c r="K50" s="337" t="n"/>
      <c r="L50" s="337" t="n">
        <v>166</v>
      </c>
      <c r="M50" s="317" t="inlineStr">
        <is>
          <t>Cocos (Keeling) Islands</t>
        </is>
      </c>
      <c r="N50" s="337" t="inlineStr">
        <is>
          <t>CC</t>
        </is>
      </c>
    </row>
    <row r="51" ht="18" customHeight="1" s="290">
      <c r="A51" s="317" t="n"/>
      <c r="B51" s="337" t="inlineStr">
        <is>
          <t>CUC</t>
        </is>
      </c>
      <c r="C51" s="554" t="n"/>
      <c r="D51" s="554" t="n"/>
      <c r="E51" s="554" t="n"/>
      <c r="F51" s="337" t="n"/>
      <c r="G51" s="337" t="n"/>
      <c r="H51" s="337" t="n"/>
      <c r="I51" s="337" t="n"/>
      <c r="J51" s="337" t="n"/>
      <c r="K51" s="337" t="n"/>
      <c r="L51" s="337" t="n">
        <v>170</v>
      </c>
      <c r="M51" s="317" t="inlineStr">
        <is>
          <t>Colombia</t>
        </is>
      </c>
      <c r="N51" s="337" t="inlineStr">
        <is>
          <t>CO</t>
        </is>
      </c>
    </row>
    <row r="52" ht="18" customHeight="1" s="290">
      <c r="A52" s="317" t="n"/>
      <c r="B52" s="337" t="inlineStr">
        <is>
          <t>CUP</t>
        </is>
      </c>
      <c r="C52" s="554" t="n"/>
      <c r="D52" s="554" t="n"/>
      <c r="E52" s="554" t="n"/>
      <c r="F52" s="337" t="n"/>
      <c r="G52" s="337" t="n"/>
      <c r="H52" s="337" t="n"/>
      <c r="I52" s="337" t="n"/>
      <c r="J52" s="337" t="n"/>
      <c r="K52" s="337" t="n"/>
      <c r="L52" s="337" t="n">
        <v>174</v>
      </c>
      <c r="M52" s="317" t="inlineStr">
        <is>
          <t>Comoros</t>
        </is>
      </c>
      <c r="N52" s="337" t="inlineStr">
        <is>
          <t>KM</t>
        </is>
      </c>
    </row>
    <row r="53" ht="18" customHeight="1" s="290">
      <c r="A53" s="317" t="n"/>
      <c r="B53" s="337" t="inlineStr">
        <is>
          <t>CVE</t>
        </is>
      </c>
      <c r="C53" s="554" t="n"/>
      <c r="D53" s="554" t="n"/>
      <c r="E53" s="554" t="n"/>
      <c r="F53" s="337" t="n"/>
      <c r="G53" s="337" t="n"/>
      <c r="H53" s="337" t="n"/>
      <c r="I53" s="337" t="n"/>
      <c r="J53" s="337" t="n"/>
      <c r="K53" s="337" t="n"/>
      <c r="L53" s="337" t="n">
        <v>178</v>
      </c>
      <c r="M53" s="317" t="inlineStr">
        <is>
          <t>Congo</t>
        </is>
      </c>
      <c r="N53" s="337" t="inlineStr">
        <is>
          <t>CG</t>
        </is>
      </c>
    </row>
    <row r="54" ht="18" customHeight="1" s="290">
      <c r="A54" s="317" t="n"/>
      <c r="B54" s="337" t="inlineStr">
        <is>
          <t>CZK</t>
        </is>
      </c>
      <c r="C54" s="554" t="n"/>
      <c r="D54" s="554" t="n"/>
      <c r="E54" s="554" t="n"/>
      <c r="F54" s="337" t="n"/>
      <c r="G54" s="337" t="n"/>
      <c r="H54" s="337" t="n"/>
      <c r="I54" s="337" t="n"/>
      <c r="J54" s="337" t="n"/>
      <c r="K54" s="337" t="n"/>
      <c r="L54" s="337" t="n">
        <v>180</v>
      </c>
      <c r="M54" s="317" t="inlineStr">
        <is>
          <t>Congo, the Democratic Republic of the</t>
        </is>
      </c>
      <c r="N54" s="337" t="inlineStr">
        <is>
          <t>CD</t>
        </is>
      </c>
    </row>
    <row r="55" ht="18" customHeight="1" s="290">
      <c r="A55" s="317" t="n"/>
      <c r="B55" s="337" t="inlineStr">
        <is>
          <t>DJF</t>
        </is>
      </c>
      <c r="C55" s="554" t="n"/>
      <c r="D55" s="554" t="n"/>
      <c r="E55" s="554" t="n"/>
      <c r="F55" s="337" t="n"/>
      <c r="G55" s="337" t="n"/>
      <c r="H55" s="337" t="n"/>
      <c r="I55" s="337" t="n"/>
      <c r="J55" s="337" t="n"/>
      <c r="K55" s="337" t="n"/>
      <c r="L55" s="337" t="n">
        <v>184</v>
      </c>
      <c r="M55" s="317" t="inlineStr">
        <is>
          <t>Cook Islands</t>
        </is>
      </c>
      <c r="N55" s="337" t="inlineStr">
        <is>
          <t>CK</t>
        </is>
      </c>
    </row>
    <row r="56" ht="18" customHeight="1" s="290">
      <c r="A56" s="317" t="n"/>
      <c r="B56" s="337" t="inlineStr">
        <is>
          <t>DKK</t>
        </is>
      </c>
      <c r="C56" s="554" t="n"/>
      <c r="D56" s="554" t="n"/>
      <c r="E56" s="554" t="n"/>
      <c r="F56" s="337" t="n"/>
      <c r="G56" s="337" t="n"/>
      <c r="H56" s="337" t="n"/>
      <c r="I56" s="337" t="n"/>
      <c r="J56" s="337" t="n"/>
      <c r="K56" s="337" t="n"/>
      <c r="L56" s="337" t="n">
        <v>188</v>
      </c>
      <c r="M56" s="317" t="inlineStr">
        <is>
          <t>Costa Rica</t>
        </is>
      </c>
      <c r="N56" s="337" t="inlineStr">
        <is>
          <t>CR</t>
        </is>
      </c>
    </row>
    <row r="57" ht="18" customHeight="1" s="290">
      <c r="A57" s="317" t="n"/>
      <c r="B57" s="337" t="inlineStr">
        <is>
          <t>DOP</t>
        </is>
      </c>
      <c r="C57" s="554" t="n"/>
      <c r="D57" s="554" t="n"/>
      <c r="E57" s="554" t="n"/>
      <c r="F57" s="337" t="n"/>
      <c r="G57" s="337" t="n"/>
      <c r="H57" s="337" t="n"/>
      <c r="I57" s="337" t="n"/>
      <c r="J57" s="337" t="n"/>
      <c r="K57" s="337" t="n"/>
      <c r="L57" s="337" t="n">
        <v>384</v>
      </c>
      <c r="M57" s="317" t="inlineStr">
        <is>
          <t>Côte d'Ivoire</t>
        </is>
      </c>
      <c r="N57" s="337" t="inlineStr">
        <is>
          <t>CI</t>
        </is>
      </c>
    </row>
    <row r="58" ht="18" customHeight="1" s="290">
      <c r="A58" s="317" t="n"/>
      <c r="B58" s="337" t="inlineStr">
        <is>
          <t>DZD</t>
        </is>
      </c>
      <c r="C58" s="554" t="n"/>
      <c r="D58" s="554" t="n"/>
      <c r="E58" s="554" t="n"/>
      <c r="F58" s="337" t="n"/>
      <c r="G58" s="337" t="n"/>
      <c r="H58" s="337" t="n"/>
      <c r="I58" s="337" t="n"/>
      <c r="J58" s="337" t="n"/>
      <c r="K58" s="337" t="n"/>
      <c r="L58" s="337" t="n">
        <v>191</v>
      </c>
      <c r="M58" s="317" t="inlineStr">
        <is>
          <t>Croatia</t>
        </is>
      </c>
      <c r="N58" s="337" t="inlineStr">
        <is>
          <t>HR</t>
        </is>
      </c>
    </row>
    <row r="59" ht="18" customHeight="1" s="290">
      <c r="A59" s="317" t="n"/>
      <c r="B59" s="337" t="inlineStr">
        <is>
          <t>EGP</t>
        </is>
      </c>
      <c r="C59" s="554" t="n"/>
      <c r="D59" s="554" t="n"/>
      <c r="E59" s="554" t="n"/>
      <c r="F59" s="337" t="n"/>
      <c r="G59" s="337" t="n"/>
      <c r="H59" s="337" t="n"/>
      <c r="I59" s="337" t="n"/>
      <c r="J59" s="337" t="n"/>
      <c r="K59" s="337" t="n"/>
      <c r="L59" s="337" t="n">
        <v>192</v>
      </c>
      <c r="M59" s="317" t="inlineStr">
        <is>
          <t>Cuba</t>
        </is>
      </c>
      <c r="N59" s="337" t="inlineStr">
        <is>
          <t>CU</t>
        </is>
      </c>
    </row>
    <row r="60" ht="18" customHeight="1" s="290">
      <c r="A60" s="317" t="n"/>
      <c r="B60" s="337" t="inlineStr">
        <is>
          <t>ERN</t>
        </is>
      </c>
      <c r="C60" s="554" t="n"/>
      <c r="D60" s="554" t="n"/>
      <c r="E60" s="554" t="n"/>
      <c r="F60" s="337" t="n"/>
      <c r="G60" s="337" t="n"/>
      <c r="H60" s="337" t="n"/>
      <c r="I60" s="337" t="n"/>
      <c r="J60" s="337" t="n"/>
      <c r="K60" s="337" t="n"/>
      <c r="L60" s="337" t="n">
        <v>531</v>
      </c>
      <c r="M60" s="317" t="inlineStr">
        <is>
          <t>Curaçao</t>
        </is>
      </c>
      <c r="N60" s="337" t="inlineStr">
        <is>
          <t>CW</t>
        </is>
      </c>
    </row>
    <row r="61" ht="18" customHeight="1" s="290">
      <c r="A61" s="317" t="n"/>
      <c r="B61" s="337" t="inlineStr">
        <is>
          <t>ETB</t>
        </is>
      </c>
      <c r="C61" s="554" t="n"/>
      <c r="D61" s="554" t="n"/>
      <c r="E61" s="554" t="n"/>
      <c r="F61" s="337" t="n"/>
      <c r="G61" s="337" t="n"/>
      <c r="H61" s="337" t="n"/>
      <c r="I61" s="337" t="n"/>
      <c r="J61" s="337" t="n"/>
      <c r="K61" s="337" t="n"/>
      <c r="L61" s="337" t="n">
        <v>196</v>
      </c>
      <c r="M61" s="317" t="inlineStr">
        <is>
          <t>Cyprus</t>
        </is>
      </c>
      <c r="N61" s="337" t="inlineStr">
        <is>
          <t>CY</t>
        </is>
      </c>
    </row>
    <row r="62" ht="18" customHeight="1" s="290">
      <c r="A62" s="317" t="n"/>
      <c r="B62" s="337" t="inlineStr">
        <is>
          <t>EUR</t>
        </is>
      </c>
      <c r="C62" s="554" t="n"/>
      <c r="D62" s="554" t="n"/>
      <c r="E62" s="554" t="n"/>
      <c r="F62" s="337" t="n"/>
      <c r="G62" s="337" t="n"/>
      <c r="H62" s="337" t="n"/>
      <c r="I62" s="337" t="n"/>
      <c r="J62" s="337" t="n"/>
      <c r="K62" s="337" t="n"/>
      <c r="L62" s="337" t="n">
        <v>203</v>
      </c>
      <c r="M62" s="317" t="inlineStr">
        <is>
          <t>Czech Republic</t>
        </is>
      </c>
      <c r="N62" s="337" t="inlineStr">
        <is>
          <t>CZ</t>
        </is>
      </c>
    </row>
    <row r="63" ht="18" customHeight="1" s="290">
      <c r="A63" s="317" t="n"/>
      <c r="B63" s="337" t="inlineStr">
        <is>
          <t>FJD</t>
        </is>
      </c>
      <c r="C63" s="554" t="n"/>
      <c r="D63" s="554" t="n"/>
      <c r="E63" s="554" t="n"/>
      <c r="F63" s="337" t="n"/>
      <c r="G63" s="337" t="n"/>
      <c r="H63" s="337" t="n"/>
      <c r="I63" s="337" t="n"/>
      <c r="J63" s="337" t="n"/>
      <c r="K63" s="337" t="n"/>
      <c r="L63" s="337" t="n">
        <v>208</v>
      </c>
      <c r="M63" s="317" t="inlineStr">
        <is>
          <t>Denmark</t>
        </is>
      </c>
      <c r="N63" s="337" t="inlineStr">
        <is>
          <t>DK</t>
        </is>
      </c>
    </row>
    <row r="64" ht="18" customHeight="1" s="290">
      <c r="A64" s="317" t="n"/>
      <c r="B64" s="337" t="inlineStr">
        <is>
          <t>FKP</t>
        </is>
      </c>
      <c r="C64" s="554" t="n"/>
      <c r="D64" s="554" t="n"/>
      <c r="E64" s="554" t="n"/>
      <c r="F64" s="337" t="n"/>
      <c r="G64" s="337" t="n"/>
      <c r="H64" s="337" t="n"/>
      <c r="I64" s="337" t="n"/>
      <c r="J64" s="337" t="n"/>
      <c r="K64" s="337" t="n"/>
      <c r="L64" s="337" t="n">
        <v>262</v>
      </c>
      <c r="M64" s="317" t="inlineStr">
        <is>
          <t>Djibouti</t>
        </is>
      </c>
      <c r="N64" s="337" t="inlineStr">
        <is>
          <t>DJ</t>
        </is>
      </c>
    </row>
    <row r="65" ht="18" customHeight="1" s="290">
      <c r="A65" s="317" t="n"/>
      <c r="B65" s="337" t="inlineStr">
        <is>
          <t>GBP</t>
        </is>
      </c>
      <c r="C65" s="554" t="n"/>
      <c r="D65" s="554" t="n"/>
      <c r="E65" s="554" t="n"/>
      <c r="F65" s="337" t="n"/>
      <c r="G65" s="337" t="n"/>
      <c r="H65" s="337" t="n"/>
      <c r="I65" s="337" t="n"/>
      <c r="J65" s="337" t="n"/>
      <c r="K65" s="337" t="n"/>
      <c r="L65" s="337" t="n">
        <v>212</v>
      </c>
      <c r="M65" s="317" t="inlineStr">
        <is>
          <t>Dominica</t>
        </is>
      </c>
      <c r="N65" s="337" t="inlineStr">
        <is>
          <t>DM</t>
        </is>
      </c>
    </row>
    <row r="66" ht="18" customHeight="1" s="290">
      <c r="A66" s="317" t="n"/>
      <c r="B66" s="337" t="inlineStr">
        <is>
          <t>GEL</t>
        </is>
      </c>
      <c r="C66" s="554" t="n"/>
      <c r="D66" s="554" t="n"/>
      <c r="E66" s="554" t="n"/>
      <c r="F66" s="337" t="n"/>
      <c r="G66" s="337" t="n"/>
      <c r="H66" s="337" t="n"/>
      <c r="I66" s="337" t="n"/>
      <c r="J66" s="337" t="n"/>
      <c r="K66" s="337" t="n"/>
      <c r="L66" s="337" t="n">
        <v>214</v>
      </c>
      <c r="M66" s="317" t="inlineStr">
        <is>
          <t>Dominican Republic</t>
        </is>
      </c>
      <c r="N66" s="337" t="inlineStr">
        <is>
          <t>DO</t>
        </is>
      </c>
    </row>
    <row r="67" ht="18" customHeight="1" s="290">
      <c r="A67" s="317" t="n"/>
      <c r="B67" s="337" t="inlineStr">
        <is>
          <t>GHS</t>
        </is>
      </c>
      <c r="C67" s="554" t="n"/>
      <c r="D67" s="554" t="n"/>
      <c r="E67" s="554" t="n"/>
      <c r="F67" s="337" t="n"/>
      <c r="G67" s="337" t="n"/>
      <c r="H67" s="337" t="n"/>
      <c r="I67" s="337" t="n"/>
      <c r="J67" s="337" t="n"/>
      <c r="K67" s="337" t="n"/>
      <c r="L67" s="337" t="n">
        <v>218</v>
      </c>
      <c r="M67" s="317" t="inlineStr">
        <is>
          <t>Ecuador</t>
        </is>
      </c>
      <c r="N67" s="337" t="inlineStr">
        <is>
          <t>EC</t>
        </is>
      </c>
    </row>
    <row r="68" ht="18" customHeight="1" s="290">
      <c r="A68" s="317" t="n"/>
      <c r="B68" s="337" t="inlineStr">
        <is>
          <t>GIP</t>
        </is>
      </c>
      <c r="C68" s="554" t="n"/>
      <c r="D68" s="554" t="n"/>
      <c r="E68" s="554" t="n"/>
      <c r="F68" s="337" t="n"/>
      <c r="G68" s="337" t="n"/>
      <c r="H68" s="337" t="n"/>
      <c r="I68" s="337" t="n"/>
      <c r="J68" s="337" t="n"/>
      <c r="K68" s="337" t="n"/>
      <c r="L68" s="337" t="n">
        <v>818</v>
      </c>
      <c r="M68" s="317" t="inlineStr">
        <is>
          <t>Egypt</t>
        </is>
      </c>
      <c r="N68" s="337" t="inlineStr">
        <is>
          <t>EG</t>
        </is>
      </c>
    </row>
    <row r="69" ht="18" customHeight="1" s="290">
      <c r="A69" s="317" t="n"/>
      <c r="B69" s="337" t="inlineStr">
        <is>
          <t>GMD</t>
        </is>
      </c>
      <c r="C69" s="554" t="n"/>
      <c r="D69" s="554" t="n"/>
      <c r="E69" s="554" t="n"/>
      <c r="F69" s="337" t="n"/>
      <c r="G69" s="337" t="n"/>
      <c r="H69" s="337" t="n"/>
      <c r="I69" s="337" t="n"/>
      <c r="J69" s="337" t="n"/>
      <c r="K69" s="337" t="n"/>
      <c r="L69" s="337" t="n">
        <v>222</v>
      </c>
      <c r="M69" s="317" t="inlineStr">
        <is>
          <t>El Salvador</t>
        </is>
      </c>
      <c r="N69" s="337" t="inlineStr">
        <is>
          <t>SV</t>
        </is>
      </c>
    </row>
    <row r="70" ht="18" customHeight="1" s="290">
      <c r="A70" s="317" t="n"/>
      <c r="B70" s="337" t="inlineStr">
        <is>
          <t>GNF</t>
        </is>
      </c>
      <c r="C70" s="554" t="n"/>
      <c r="D70" s="554" t="n"/>
      <c r="E70" s="554" t="n"/>
      <c r="F70" s="337" t="n"/>
      <c r="G70" s="337" t="n"/>
      <c r="H70" s="337" t="n"/>
      <c r="I70" s="337" t="n"/>
      <c r="J70" s="337" t="n"/>
      <c r="K70" s="337" t="n"/>
      <c r="L70" s="337" t="n">
        <v>226</v>
      </c>
      <c r="M70" s="317" t="inlineStr">
        <is>
          <t>Equatorial Guinea</t>
        </is>
      </c>
      <c r="N70" s="337" t="inlineStr">
        <is>
          <t>GQ</t>
        </is>
      </c>
    </row>
    <row r="71" ht="18" customHeight="1" s="290">
      <c r="A71" s="317" t="n"/>
      <c r="B71" s="337" t="inlineStr">
        <is>
          <t>GTQ</t>
        </is>
      </c>
      <c r="C71" s="554" t="n"/>
      <c r="D71" s="554" t="n"/>
      <c r="E71" s="554" t="n"/>
      <c r="F71" s="337" t="n"/>
      <c r="G71" s="337" t="n"/>
      <c r="H71" s="337" t="n"/>
      <c r="I71" s="337" t="n"/>
      <c r="J71" s="337" t="n"/>
      <c r="K71" s="337" t="n"/>
      <c r="L71" s="337" t="n">
        <v>232</v>
      </c>
      <c r="M71" s="317" t="inlineStr">
        <is>
          <t>Eritrea</t>
        </is>
      </c>
      <c r="N71" s="337" t="inlineStr">
        <is>
          <t>ER</t>
        </is>
      </c>
    </row>
    <row r="72" ht="18" customHeight="1" s="290">
      <c r="A72" s="317" t="n"/>
      <c r="B72" s="337" t="inlineStr">
        <is>
          <t>GYD</t>
        </is>
      </c>
      <c r="C72" s="554" t="n"/>
      <c r="D72" s="554" t="n"/>
      <c r="E72" s="554" t="n"/>
      <c r="F72" s="337" t="n"/>
      <c r="G72" s="337" t="n"/>
      <c r="H72" s="337" t="n"/>
      <c r="I72" s="337" t="n"/>
      <c r="J72" s="337" t="n"/>
      <c r="K72" s="337" t="n"/>
      <c r="L72" s="337" t="n">
        <v>233</v>
      </c>
      <c r="M72" s="317" t="inlineStr">
        <is>
          <t>Estonia</t>
        </is>
      </c>
      <c r="N72" s="337" t="inlineStr">
        <is>
          <t>EE</t>
        </is>
      </c>
    </row>
    <row r="73" ht="18" customHeight="1" s="290">
      <c r="A73" s="317" t="n"/>
      <c r="B73" s="337" t="inlineStr">
        <is>
          <t>HKD</t>
        </is>
      </c>
      <c r="C73" s="554" t="n"/>
      <c r="D73" s="554" t="n"/>
      <c r="E73" s="554" t="n"/>
      <c r="F73" s="337" t="n"/>
      <c r="G73" s="337" t="n"/>
      <c r="H73" s="337" t="n"/>
      <c r="I73" s="337" t="n"/>
      <c r="J73" s="337" t="n"/>
      <c r="K73" s="337" t="n"/>
      <c r="L73" s="337" t="n">
        <v>231</v>
      </c>
      <c r="M73" s="317" t="inlineStr">
        <is>
          <t>Ethiopia</t>
        </is>
      </c>
      <c r="N73" s="337" t="inlineStr">
        <is>
          <t>ET</t>
        </is>
      </c>
    </row>
    <row r="74" ht="18" customHeight="1" s="290">
      <c r="A74" s="317" t="n"/>
      <c r="B74" s="337" t="inlineStr">
        <is>
          <t>HNL</t>
        </is>
      </c>
      <c r="C74" s="554" t="n"/>
      <c r="D74" s="554" t="n"/>
      <c r="E74" s="554" t="n"/>
      <c r="F74" s="337" t="n"/>
      <c r="G74" s="337" t="n"/>
      <c r="H74" s="337" t="n"/>
      <c r="I74" s="337" t="n"/>
      <c r="J74" s="337" t="n"/>
      <c r="K74" s="337" t="n"/>
      <c r="L74" s="337" t="n">
        <v>238</v>
      </c>
      <c r="M74" s="317" t="inlineStr">
        <is>
          <t>Falkland Islands (Malvinas)</t>
        </is>
      </c>
      <c r="N74" s="337" t="inlineStr">
        <is>
          <t>FK</t>
        </is>
      </c>
    </row>
    <row r="75" ht="18" customHeight="1" s="290">
      <c r="A75" s="317" t="n"/>
      <c r="B75" s="337" t="inlineStr">
        <is>
          <t>HRK</t>
        </is>
      </c>
      <c r="C75" s="554" t="n"/>
      <c r="D75" s="554" t="n"/>
      <c r="E75" s="554" t="n"/>
      <c r="F75" s="337" t="n"/>
      <c r="G75" s="337" t="n"/>
      <c r="H75" s="337" t="n"/>
      <c r="I75" s="337" t="n"/>
      <c r="J75" s="337" t="n"/>
      <c r="K75" s="337" t="n"/>
      <c r="L75" s="337" t="n">
        <v>234</v>
      </c>
      <c r="M75" s="317" t="inlineStr">
        <is>
          <t>Faroe Islands</t>
        </is>
      </c>
      <c r="N75" s="337" t="inlineStr">
        <is>
          <t>FO</t>
        </is>
      </c>
    </row>
    <row r="76" ht="18" customHeight="1" s="290">
      <c r="A76" s="317" t="n"/>
      <c r="B76" s="337" t="inlineStr">
        <is>
          <t>HTG</t>
        </is>
      </c>
      <c r="C76" s="554" t="n"/>
      <c r="D76" s="554" t="n"/>
      <c r="E76" s="554" t="n"/>
      <c r="F76" s="337" t="n"/>
      <c r="G76" s="337" t="n"/>
      <c r="H76" s="337" t="n"/>
      <c r="I76" s="337" t="n"/>
      <c r="J76" s="337" t="n"/>
      <c r="K76" s="337" t="n"/>
      <c r="L76" s="337" t="n">
        <v>242</v>
      </c>
      <c r="M76" s="317" t="inlineStr">
        <is>
          <t>Fiji</t>
        </is>
      </c>
      <c r="N76" s="337" t="inlineStr">
        <is>
          <t>FJ</t>
        </is>
      </c>
    </row>
    <row r="77" ht="18" customHeight="1" s="290">
      <c r="A77" s="317" t="n"/>
      <c r="B77" s="337" t="inlineStr">
        <is>
          <t>HUF</t>
        </is>
      </c>
      <c r="C77" s="554" t="n"/>
      <c r="D77" s="554" t="n"/>
      <c r="E77" s="554" t="n"/>
      <c r="F77" s="337" t="n"/>
      <c r="G77" s="337" t="n"/>
      <c r="H77" s="337" t="n"/>
      <c r="I77" s="337" t="n"/>
      <c r="J77" s="337" t="n"/>
      <c r="K77" s="337" t="n"/>
      <c r="L77" s="337" t="n">
        <v>246</v>
      </c>
      <c r="M77" s="317" t="inlineStr">
        <is>
          <t>Finland</t>
        </is>
      </c>
      <c r="N77" s="337" t="inlineStr">
        <is>
          <t>FI</t>
        </is>
      </c>
    </row>
    <row r="78" ht="18" customHeight="1" s="290">
      <c r="A78" s="317" t="n"/>
      <c r="B78" s="337" t="inlineStr">
        <is>
          <t>IDR</t>
        </is>
      </c>
      <c r="C78" s="554" t="n"/>
      <c r="D78" s="554" t="n"/>
      <c r="E78" s="554" t="n"/>
      <c r="F78" s="337" t="n"/>
      <c r="G78" s="337" t="n"/>
      <c r="H78" s="337" t="n"/>
      <c r="I78" s="337" t="n"/>
      <c r="J78" s="337" t="n"/>
      <c r="K78" s="337" t="n"/>
      <c r="L78" s="337" t="n">
        <v>250</v>
      </c>
      <c r="M78" s="317" t="inlineStr">
        <is>
          <t>France</t>
        </is>
      </c>
      <c r="N78" s="337" t="inlineStr">
        <is>
          <t>FR</t>
        </is>
      </c>
    </row>
    <row r="79" ht="18" customHeight="1" s="290">
      <c r="A79" s="317" t="n"/>
      <c r="B79" s="337" t="inlineStr">
        <is>
          <t>ILS</t>
        </is>
      </c>
      <c r="C79" s="554" t="n"/>
      <c r="D79" s="554" t="n"/>
      <c r="E79" s="554" t="n"/>
      <c r="F79" s="337" t="n"/>
      <c r="G79" s="337" t="n"/>
      <c r="H79" s="337" t="n"/>
      <c r="I79" s="337" t="n"/>
      <c r="J79" s="337" t="n"/>
      <c r="K79" s="337" t="n"/>
      <c r="L79" s="337" t="n">
        <v>254</v>
      </c>
      <c r="M79" s="317" t="inlineStr">
        <is>
          <t>French Guiana</t>
        </is>
      </c>
      <c r="N79" s="337" t="inlineStr">
        <is>
          <t>GF</t>
        </is>
      </c>
    </row>
    <row r="80" ht="18" customHeight="1" s="290">
      <c r="A80" s="317" t="n"/>
      <c r="B80" s="337" t="inlineStr">
        <is>
          <t>INR</t>
        </is>
      </c>
      <c r="C80" s="554" t="n"/>
      <c r="D80" s="554" t="n"/>
      <c r="E80" s="554" t="n"/>
      <c r="F80" s="337" t="n"/>
      <c r="G80" s="337" t="n"/>
      <c r="H80" s="337" t="n"/>
      <c r="I80" s="337" t="n"/>
      <c r="J80" s="337" t="n"/>
      <c r="K80" s="337" t="n"/>
      <c r="L80" s="337" t="n">
        <v>258</v>
      </c>
      <c r="M80" s="317" t="inlineStr">
        <is>
          <t>French Polynesia</t>
        </is>
      </c>
      <c r="N80" s="337" t="inlineStr">
        <is>
          <t>PF</t>
        </is>
      </c>
    </row>
    <row r="81" ht="18" customHeight="1" s="290">
      <c r="A81" s="317" t="n"/>
      <c r="B81" s="337" t="inlineStr">
        <is>
          <t>IQD</t>
        </is>
      </c>
      <c r="C81" s="554" t="n"/>
      <c r="D81" s="554" t="n"/>
      <c r="E81" s="554" t="n"/>
      <c r="F81" s="337" t="n"/>
      <c r="G81" s="337" t="n"/>
      <c r="H81" s="337" t="n"/>
      <c r="I81" s="337" t="n"/>
      <c r="J81" s="337" t="n"/>
      <c r="K81" s="337" t="n"/>
      <c r="L81" s="337" t="n">
        <v>260</v>
      </c>
      <c r="M81" s="317" t="inlineStr">
        <is>
          <t>French Southern Territories</t>
        </is>
      </c>
      <c r="N81" s="337" t="inlineStr">
        <is>
          <t>TF</t>
        </is>
      </c>
    </row>
    <row r="82" ht="18" customHeight="1" s="290">
      <c r="A82" s="317" t="n"/>
      <c r="B82" s="337" t="inlineStr">
        <is>
          <t>IRR</t>
        </is>
      </c>
      <c r="C82" s="554" t="n"/>
      <c r="D82" s="554" t="n"/>
      <c r="E82" s="554" t="n"/>
      <c r="F82" s="337" t="n"/>
      <c r="G82" s="337" t="n"/>
      <c r="H82" s="337" t="n"/>
      <c r="I82" s="337" t="n"/>
      <c r="J82" s="337" t="n"/>
      <c r="K82" s="337" t="n"/>
      <c r="L82" s="337" t="n">
        <v>266</v>
      </c>
      <c r="M82" s="317" t="inlineStr">
        <is>
          <t>Gabon</t>
        </is>
      </c>
      <c r="N82" s="337" t="inlineStr">
        <is>
          <t>GA</t>
        </is>
      </c>
    </row>
    <row r="83" ht="18" customHeight="1" s="290">
      <c r="A83" s="317" t="n"/>
      <c r="B83" s="337" t="inlineStr">
        <is>
          <t>ISK</t>
        </is>
      </c>
      <c r="C83" s="554" t="n"/>
      <c r="D83" s="554" t="n"/>
      <c r="E83" s="554" t="n"/>
      <c r="F83" s="337" t="n"/>
      <c r="G83" s="337" t="n"/>
      <c r="H83" s="337" t="n"/>
      <c r="I83" s="337" t="n"/>
      <c r="J83" s="337" t="n"/>
      <c r="K83" s="337" t="n"/>
      <c r="L83" s="337" t="n">
        <v>270</v>
      </c>
      <c r="M83" s="317" t="inlineStr">
        <is>
          <t>Gambia</t>
        </is>
      </c>
      <c r="N83" s="337" t="inlineStr">
        <is>
          <t>GM</t>
        </is>
      </c>
    </row>
    <row r="84" ht="18" customHeight="1" s="290">
      <c r="A84" s="317" t="n"/>
      <c r="B84" s="337" t="inlineStr">
        <is>
          <t>JMD</t>
        </is>
      </c>
      <c r="C84" s="554" t="n"/>
      <c r="D84" s="554" t="n"/>
      <c r="E84" s="554" t="n"/>
      <c r="F84" s="337" t="n"/>
      <c r="G84" s="337" t="n"/>
      <c r="H84" s="337" t="n"/>
      <c r="I84" s="337" t="n"/>
      <c r="J84" s="337" t="n"/>
      <c r="K84" s="337" t="n"/>
      <c r="L84" s="337" t="n">
        <v>268</v>
      </c>
      <c r="M84" s="317" t="inlineStr">
        <is>
          <t>Georgia</t>
        </is>
      </c>
      <c r="N84" s="337" t="inlineStr">
        <is>
          <t>GE</t>
        </is>
      </c>
    </row>
    <row r="85" ht="18" customHeight="1" s="290">
      <c r="A85" s="317" t="n"/>
      <c r="B85" s="337" t="inlineStr">
        <is>
          <t>JOD</t>
        </is>
      </c>
      <c r="C85" s="554" t="n"/>
      <c r="D85" s="554" t="n"/>
      <c r="E85" s="554" t="n"/>
      <c r="F85" s="337" t="n"/>
      <c r="G85" s="337" t="n"/>
      <c r="H85" s="337" t="n"/>
      <c r="I85" s="337" t="n"/>
      <c r="J85" s="337" t="n"/>
      <c r="K85" s="337" t="n"/>
      <c r="L85" s="337" t="n">
        <v>276</v>
      </c>
      <c r="M85" s="317" t="inlineStr">
        <is>
          <t>Germany</t>
        </is>
      </c>
      <c r="N85" s="337" t="inlineStr">
        <is>
          <t>DE</t>
        </is>
      </c>
    </row>
    <row r="86" ht="18" customHeight="1" s="290">
      <c r="A86" s="317" t="n"/>
      <c r="B86" s="337" t="inlineStr">
        <is>
          <t>JPY</t>
        </is>
      </c>
      <c r="C86" s="554" t="n"/>
      <c r="D86" s="554" t="n"/>
      <c r="E86" s="554" t="n"/>
      <c r="F86" s="337" t="n"/>
      <c r="G86" s="337" t="n"/>
      <c r="H86" s="337" t="n"/>
      <c r="I86" s="337" t="n"/>
      <c r="J86" s="337" t="n"/>
      <c r="K86" s="337" t="n"/>
      <c r="L86" s="337" t="n">
        <v>288</v>
      </c>
      <c r="M86" s="317" t="inlineStr">
        <is>
          <t>Ghana</t>
        </is>
      </c>
      <c r="N86" s="337" t="inlineStr">
        <is>
          <t>GH</t>
        </is>
      </c>
    </row>
    <row r="87" ht="18" customHeight="1" s="290">
      <c r="A87" s="317" t="n"/>
      <c r="B87" s="337" t="inlineStr">
        <is>
          <t>KES</t>
        </is>
      </c>
      <c r="C87" s="554" t="n"/>
      <c r="D87" s="554" t="n"/>
      <c r="E87" s="554" t="n"/>
      <c r="F87" s="337" t="n"/>
      <c r="G87" s="337" t="n"/>
      <c r="H87" s="337" t="n"/>
      <c r="I87" s="337" t="n"/>
      <c r="J87" s="337" t="n"/>
      <c r="K87" s="337" t="n"/>
      <c r="L87" s="337" t="n">
        <v>292</v>
      </c>
      <c r="M87" s="317" t="inlineStr">
        <is>
          <t>Gibraltar</t>
        </is>
      </c>
      <c r="N87" s="337" t="inlineStr">
        <is>
          <t>GI</t>
        </is>
      </c>
    </row>
    <row r="88" ht="18" customHeight="1" s="290">
      <c r="A88" s="317" t="n"/>
      <c r="B88" s="337" t="inlineStr">
        <is>
          <t>KGS</t>
        </is>
      </c>
      <c r="C88" s="554" t="n"/>
      <c r="D88" s="554" t="n"/>
      <c r="E88" s="554" t="n"/>
      <c r="F88" s="337" t="n"/>
      <c r="G88" s="337" t="n"/>
      <c r="H88" s="337" t="n"/>
      <c r="I88" s="337" t="n"/>
      <c r="J88" s="337" t="n"/>
      <c r="K88" s="337" t="n"/>
      <c r="L88" s="337" t="n">
        <v>300</v>
      </c>
      <c r="M88" s="317" t="inlineStr">
        <is>
          <t>Greece</t>
        </is>
      </c>
      <c r="N88" s="337" t="inlineStr">
        <is>
          <t>GR</t>
        </is>
      </c>
    </row>
    <row r="89" ht="18" customHeight="1" s="290">
      <c r="A89" s="317" t="n"/>
      <c r="B89" s="337" t="inlineStr">
        <is>
          <t>KHR</t>
        </is>
      </c>
      <c r="C89" s="554" t="n"/>
      <c r="D89" s="554" t="n"/>
      <c r="E89" s="554" t="n"/>
      <c r="F89" s="337" t="n"/>
      <c r="G89" s="337" t="n"/>
      <c r="H89" s="337" t="n"/>
      <c r="I89" s="337" t="n"/>
      <c r="J89" s="337" t="n"/>
      <c r="K89" s="337" t="n"/>
      <c r="L89" s="337" t="n">
        <v>304</v>
      </c>
      <c r="M89" s="317" t="inlineStr">
        <is>
          <t>Greenland</t>
        </is>
      </c>
      <c r="N89" s="337" t="inlineStr">
        <is>
          <t>GL</t>
        </is>
      </c>
    </row>
    <row r="90" ht="18" customHeight="1" s="290">
      <c r="A90" s="317" t="n"/>
      <c r="B90" s="337" t="inlineStr">
        <is>
          <t>KMF</t>
        </is>
      </c>
      <c r="C90" s="554" t="n"/>
      <c r="D90" s="554" t="n"/>
      <c r="E90" s="554" t="n"/>
      <c r="F90" s="337" t="n"/>
      <c r="G90" s="337" t="n"/>
      <c r="H90" s="337" t="n"/>
      <c r="I90" s="337" t="n"/>
      <c r="J90" s="337" t="n"/>
      <c r="K90" s="337" t="n"/>
      <c r="L90" s="337" t="n">
        <v>308</v>
      </c>
      <c r="M90" s="317" t="inlineStr">
        <is>
          <t>Grenada</t>
        </is>
      </c>
      <c r="N90" s="337" t="inlineStr">
        <is>
          <t>GD</t>
        </is>
      </c>
    </row>
    <row r="91" ht="18" customHeight="1" s="290">
      <c r="A91" s="317" t="n"/>
      <c r="B91" s="337" t="inlineStr">
        <is>
          <t>KPW</t>
        </is>
      </c>
      <c r="C91" s="554" t="n"/>
      <c r="D91" s="554" t="n"/>
      <c r="E91" s="554" t="n"/>
      <c r="F91" s="337" t="n"/>
      <c r="G91" s="337" t="n"/>
      <c r="H91" s="337" t="n"/>
      <c r="I91" s="337" t="n"/>
      <c r="J91" s="337" t="n"/>
      <c r="K91" s="337" t="n"/>
      <c r="L91" s="337" t="n">
        <v>312</v>
      </c>
      <c r="M91" s="317" t="inlineStr">
        <is>
          <t>Guadeloupe</t>
        </is>
      </c>
      <c r="N91" s="337" t="inlineStr">
        <is>
          <t>GP</t>
        </is>
      </c>
    </row>
    <row r="92" ht="18" customHeight="1" s="290">
      <c r="A92" s="317" t="n"/>
      <c r="B92" s="337" t="inlineStr">
        <is>
          <t>KRW</t>
        </is>
      </c>
      <c r="C92" s="554" t="n"/>
      <c r="D92" s="554" t="n"/>
      <c r="E92" s="554" t="n"/>
      <c r="F92" s="337" t="n"/>
      <c r="G92" s="337" t="n"/>
      <c r="H92" s="337" t="n"/>
      <c r="I92" s="337" t="n"/>
      <c r="J92" s="337" t="n"/>
      <c r="K92" s="337" t="n"/>
      <c r="L92" s="337" t="n">
        <v>316</v>
      </c>
      <c r="M92" s="317" t="inlineStr">
        <is>
          <t>Guam</t>
        </is>
      </c>
      <c r="N92" s="337" t="inlineStr">
        <is>
          <t>GU</t>
        </is>
      </c>
    </row>
    <row r="93" ht="18" customHeight="1" s="290">
      <c r="A93" s="317" t="n"/>
      <c r="B93" s="337" t="inlineStr">
        <is>
          <t>KWD</t>
        </is>
      </c>
      <c r="C93" s="554" t="n"/>
      <c r="D93" s="554" t="n"/>
      <c r="E93" s="554" t="n"/>
      <c r="F93" s="337" t="n"/>
      <c r="G93" s="337" t="n"/>
      <c r="H93" s="337" t="n"/>
      <c r="I93" s="337" t="n"/>
      <c r="J93" s="337" t="n"/>
      <c r="K93" s="337" t="n"/>
      <c r="L93" s="337" t="n">
        <v>320</v>
      </c>
      <c r="M93" s="317" t="inlineStr">
        <is>
          <t>Guatemala</t>
        </is>
      </c>
      <c r="N93" s="337" t="inlineStr">
        <is>
          <t>GT</t>
        </is>
      </c>
    </row>
    <row r="94" ht="18" customHeight="1" s="290">
      <c r="A94" s="317" t="n"/>
      <c r="B94" s="337" t="inlineStr">
        <is>
          <t>KYD</t>
        </is>
      </c>
      <c r="C94" s="554" t="n"/>
      <c r="D94" s="554" t="n"/>
      <c r="E94" s="554" t="n"/>
      <c r="F94" s="337" t="n"/>
      <c r="G94" s="337" t="n"/>
      <c r="H94" s="337" t="n"/>
      <c r="I94" s="337" t="n"/>
      <c r="J94" s="337" t="n"/>
      <c r="K94" s="337" t="n"/>
      <c r="L94" s="337" t="n">
        <v>831</v>
      </c>
      <c r="M94" s="317" t="inlineStr">
        <is>
          <t>Guernsey</t>
        </is>
      </c>
      <c r="N94" s="337" t="inlineStr">
        <is>
          <t>GG</t>
        </is>
      </c>
    </row>
    <row r="95" ht="18" customHeight="1" s="290">
      <c r="A95" s="317" t="n"/>
      <c r="B95" s="337" t="inlineStr">
        <is>
          <t>KZT</t>
        </is>
      </c>
      <c r="C95" s="554" t="n"/>
      <c r="D95" s="554" t="n"/>
      <c r="E95" s="554" t="n"/>
      <c r="F95" s="337" t="n"/>
      <c r="G95" s="337" t="n"/>
      <c r="H95" s="337" t="n"/>
      <c r="I95" s="337" t="n"/>
      <c r="J95" s="337" t="n"/>
      <c r="K95" s="337" t="n"/>
      <c r="L95" s="337" t="n">
        <v>324</v>
      </c>
      <c r="M95" s="317" t="inlineStr">
        <is>
          <t>Guinea</t>
        </is>
      </c>
      <c r="N95" s="337" t="inlineStr">
        <is>
          <t>GN</t>
        </is>
      </c>
    </row>
    <row r="96" ht="18" customHeight="1" s="290">
      <c r="A96" s="317" t="n"/>
      <c r="B96" s="337" t="inlineStr">
        <is>
          <t>LAK</t>
        </is>
      </c>
      <c r="C96" s="554" t="n"/>
      <c r="D96" s="554" t="n"/>
      <c r="E96" s="554" t="n"/>
      <c r="F96" s="337" t="n"/>
      <c r="G96" s="337" t="n"/>
      <c r="H96" s="337" t="n"/>
      <c r="I96" s="337" t="n"/>
      <c r="J96" s="337" t="n"/>
      <c r="K96" s="337" t="n"/>
      <c r="L96" s="337" t="n">
        <v>624</v>
      </c>
      <c r="M96" s="317" t="inlineStr">
        <is>
          <t>Guinea-Bissau</t>
        </is>
      </c>
      <c r="N96" s="337" t="inlineStr">
        <is>
          <t>GW</t>
        </is>
      </c>
    </row>
    <row r="97" ht="18" customHeight="1" s="290">
      <c r="A97" s="317" t="n"/>
      <c r="B97" s="337" t="inlineStr">
        <is>
          <t>LBP</t>
        </is>
      </c>
      <c r="C97" s="554" t="n"/>
      <c r="D97" s="554" t="n"/>
      <c r="E97" s="554" t="n"/>
      <c r="F97" s="337" t="n"/>
      <c r="G97" s="337" t="n"/>
      <c r="H97" s="337" t="n"/>
      <c r="I97" s="337" t="n"/>
      <c r="J97" s="337" t="n"/>
      <c r="K97" s="337" t="n"/>
      <c r="L97" s="337" t="n">
        <v>328</v>
      </c>
      <c r="M97" s="317" t="inlineStr">
        <is>
          <t>Guyana</t>
        </is>
      </c>
      <c r="N97" s="337" t="inlineStr">
        <is>
          <t>GY</t>
        </is>
      </c>
    </row>
    <row r="98" ht="18" customHeight="1" s="290">
      <c r="A98" s="317" t="n"/>
      <c r="B98" s="337" t="inlineStr">
        <is>
          <t>LKR</t>
        </is>
      </c>
      <c r="C98" s="554" t="n"/>
      <c r="D98" s="554" t="n"/>
      <c r="E98" s="554" t="n"/>
      <c r="F98" s="337" t="n"/>
      <c r="G98" s="337" t="n"/>
      <c r="H98" s="337" t="n"/>
      <c r="I98" s="337" t="n"/>
      <c r="J98" s="337" t="n"/>
      <c r="K98" s="337" t="n"/>
      <c r="L98" s="337" t="n">
        <v>332</v>
      </c>
      <c r="M98" s="317" t="inlineStr">
        <is>
          <t>Haiti</t>
        </is>
      </c>
      <c r="N98" s="337" t="inlineStr">
        <is>
          <t>HT</t>
        </is>
      </c>
    </row>
    <row r="99" ht="18" customHeight="1" s="290">
      <c r="A99" s="317" t="n"/>
      <c r="B99" s="337" t="inlineStr">
        <is>
          <t>LRD</t>
        </is>
      </c>
      <c r="C99" s="554" t="n"/>
      <c r="D99" s="554" t="n"/>
      <c r="E99" s="554" t="n"/>
      <c r="F99" s="337" t="n"/>
      <c r="G99" s="337" t="n"/>
      <c r="H99" s="337" t="n"/>
      <c r="I99" s="337" t="n"/>
      <c r="J99" s="337" t="n"/>
      <c r="K99" s="337" t="n"/>
      <c r="L99" s="337" t="n">
        <v>334</v>
      </c>
      <c r="M99" s="317" t="inlineStr">
        <is>
          <t>Heard Island and McDonald Islands</t>
        </is>
      </c>
      <c r="N99" s="337" t="inlineStr">
        <is>
          <t>HM</t>
        </is>
      </c>
    </row>
    <row r="100" ht="18" customHeight="1" s="290">
      <c r="A100" s="317" t="n"/>
      <c r="B100" s="337" t="inlineStr">
        <is>
          <t>LSL</t>
        </is>
      </c>
      <c r="C100" s="554" t="n"/>
      <c r="D100" s="554" t="n"/>
      <c r="E100" s="554" t="n"/>
      <c r="F100" s="337" t="n"/>
      <c r="G100" s="337" t="n"/>
      <c r="H100" s="337" t="n"/>
      <c r="I100" s="337" t="n"/>
      <c r="J100" s="337" t="n"/>
      <c r="K100" s="337" t="n"/>
      <c r="L100" s="337" t="n">
        <v>336</v>
      </c>
      <c r="M100" s="317" t="inlineStr">
        <is>
          <t>Holy See (Vatican City State)</t>
        </is>
      </c>
      <c r="N100" s="337" t="inlineStr">
        <is>
          <t>VA</t>
        </is>
      </c>
    </row>
    <row r="101" ht="18" customHeight="1" s="290">
      <c r="A101" s="317" t="n"/>
      <c r="B101" s="337" t="inlineStr">
        <is>
          <t>LTL</t>
        </is>
      </c>
      <c r="C101" s="554" t="n"/>
      <c r="D101" s="554" t="n"/>
      <c r="E101" s="554" t="n"/>
      <c r="F101" s="337" t="n"/>
      <c r="G101" s="337" t="n"/>
      <c r="H101" s="337" t="n"/>
      <c r="I101" s="337" t="n"/>
      <c r="J101" s="337" t="n"/>
      <c r="K101" s="337" t="n"/>
      <c r="L101" s="337" t="n">
        <v>340</v>
      </c>
      <c r="M101" s="317" t="inlineStr">
        <is>
          <t>Honduras</t>
        </is>
      </c>
      <c r="N101" s="337" t="inlineStr">
        <is>
          <t>HN</t>
        </is>
      </c>
    </row>
    <row r="102" ht="18" customHeight="1" s="290">
      <c r="A102" s="317" t="n"/>
      <c r="B102" s="337" t="inlineStr">
        <is>
          <t>LVL</t>
        </is>
      </c>
      <c r="C102" s="554" t="n"/>
      <c r="D102" s="554" t="n"/>
      <c r="E102" s="554" t="n"/>
      <c r="F102" s="337" t="n"/>
      <c r="G102" s="337" t="n"/>
      <c r="H102" s="337" t="n"/>
      <c r="I102" s="337" t="n"/>
      <c r="J102" s="337" t="n"/>
      <c r="K102" s="337" t="n"/>
      <c r="L102" s="337" t="n">
        <v>344</v>
      </c>
      <c r="M102" s="317" t="inlineStr">
        <is>
          <t>Hong Kong</t>
        </is>
      </c>
      <c r="N102" s="337" t="inlineStr">
        <is>
          <t>HK</t>
        </is>
      </c>
    </row>
    <row r="103" ht="18" customHeight="1" s="290">
      <c r="A103" s="317" t="n"/>
      <c r="B103" s="337" t="inlineStr">
        <is>
          <t>LYD</t>
        </is>
      </c>
      <c r="C103" s="554" t="n"/>
      <c r="D103" s="554" t="n"/>
      <c r="E103" s="554" t="n"/>
      <c r="F103" s="337" t="n"/>
      <c r="G103" s="337" t="n"/>
      <c r="H103" s="337" t="n"/>
      <c r="I103" s="337" t="n"/>
      <c r="J103" s="337" t="n"/>
      <c r="K103" s="337" t="n"/>
      <c r="L103" s="337" t="n">
        <v>348</v>
      </c>
      <c r="M103" s="317" t="inlineStr">
        <is>
          <t>Hungary</t>
        </is>
      </c>
      <c r="N103" s="337" t="inlineStr">
        <is>
          <t>HU</t>
        </is>
      </c>
    </row>
    <row r="104" ht="18" customHeight="1" s="290">
      <c r="A104" s="317" t="n"/>
      <c r="B104" s="337" t="inlineStr">
        <is>
          <t>MAD</t>
        </is>
      </c>
      <c r="C104" s="554" t="n"/>
      <c r="D104" s="554" t="n"/>
      <c r="E104" s="554" t="n"/>
      <c r="F104" s="337" t="n"/>
      <c r="G104" s="337" t="n"/>
      <c r="H104" s="337" t="n"/>
      <c r="I104" s="337" t="n"/>
      <c r="J104" s="337" t="n"/>
      <c r="K104" s="337" t="n"/>
      <c r="L104" s="337" t="n">
        <v>352</v>
      </c>
      <c r="M104" s="317" t="inlineStr">
        <is>
          <t>Iceland</t>
        </is>
      </c>
      <c r="N104" s="337" t="inlineStr">
        <is>
          <t>IS</t>
        </is>
      </c>
    </row>
    <row r="105" ht="18" customHeight="1" s="290">
      <c r="A105" s="317" t="n"/>
      <c r="B105" s="337" t="inlineStr">
        <is>
          <t>MDL</t>
        </is>
      </c>
      <c r="C105" s="554" t="n"/>
      <c r="D105" s="554" t="n"/>
      <c r="E105" s="554" t="n"/>
      <c r="F105" s="337" t="n"/>
      <c r="G105" s="337" t="n"/>
      <c r="H105" s="337" t="n"/>
      <c r="I105" s="337" t="n"/>
      <c r="J105" s="337" t="n"/>
      <c r="K105" s="337" t="n"/>
      <c r="L105" s="337" t="n">
        <v>356</v>
      </c>
      <c r="M105" s="317" t="inlineStr">
        <is>
          <t>India</t>
        </is>
      </c>
      <c r="N105" s="337" t="inlineStr">
        <is>
          <t>IN</t>
        </is>
      </c>
    </row>
    <row r="106" ht="18" customHeight="1" s="290">
      <c r="A106" s="317" t="n"/>
      <c r="B106" s="337" t="inlineStr">
        <is>
          <t>MGA</t>
        </is>
      </c>
      <c r="C106" s="554" t="n"/>
      <c r="D106" s="554" t="n"/>
      <c r="E106" s="554" t="n"/>
      <c r="F106" s="337" t="n"/>
      <c r="G106" s="337" t="n"/>
      <c r="H106" s="337" t="n"/>
      <c r="I106" s="337" t="n"/>
      <c r="J106" s="337" t="n"/>
      <c r="K106" s="337" t="n"/>
      <c r="L106" s="337" t="n">
        <v>360</v>
      </c>
      <c r="M106" s="317" t="inlineStr">
        <is>
          <t>Indonesia</t>
        </is>
      </c>
      <c r="N106" s="337" t="inlineStr">
        <is>
          <t>ID</t>
        </is>
      </c>
    </row>
    <row r="107" ht="18" customHeight="1" s="290">
      <c r="A107" s="317" t="n"/>
      <c r="B107" s="337" t="inlineStr">
        <is>
          <t>MKD</t>
        </is>
      </c>
      <c r="C107" s="554" t="n"/>
      <c r="D107" s="554" t="n"/>
      <c r="E107" s="554" t="n"/>
      <c r="F107" s="337" t="n"/>
      <c r="G107" s="337" t="n"/>
      <c r="H107" s="337" t="n"/>
      <c r="I107" s="337" t="n"/>
      <c r="J107" s="337" t="n"/>
      <c r="K107" s="337" t="n"/>
      <c r="L107" s="337" t="n">
        <v>364</v>
      </c>
      <c r="M107" s="317" t="inlineStr">
        <is>
          <t>Iran, Islamic Republic of</t>
        </is>
      </c>
      <c r="N107" s="337" t="inlineStr">
        <is>
          <t>IR</t>
        </is>
      </c>
    </row>
    <row r="108" ht="18" customHeight="1" s="290">
      <c r="A108" s="317" t="n"/>
      <c r="B108" s="337" t="inlineStr">
        <is>
          <t>MMK</t>
        </is>
      </c>
      <c r="C108" s="554" t="n"/>
      <c r="D108" s="554" t="n"/>
      <c r="E108" s="554" t="n"/>
      <c r="F108" s="337" t="n"/>
      <c r="G108" s="337" t="n"/>
      <c r="H108" s="337" t="n"/>
      <c r="I108" s="337" t="n"/>
      <c r="J108" s="337" t="n"/>
      <c r="K108" s="337" t="n"/>
      <c r="L108" s="337" t="n">
        <v>368</v>
      </c>
      <c r="M108" s="317" t="inlineStr">
        <is>
          <t>Iraq</t>
        </is>
      </c>
      <c r="N108" s="337" t="inlineStr">
        <is>
          <t>IQ</t>
        </is>
      </c>
    </row>
    <row r="109" ht="18" customHeight="1" s="290">
      <c r="A109" s="317" t="n"/>
      <c r="B109" s="337" t="inlineStr">
        <is>
          <t>MNT</t>
        </is>
      </c>
      <c r="C109" s="554" t="n"/>
      <c r="D109" s="554" t="n"/>
      <c r="E109" s="554" t="n"/>
      <c r="F109" s="337" t="n"/>
      <c r="G109" s="337" t="n"/>
      <c r="H109" s="337" t="n"/>
      <c r="I109" s="337" t="n"/>
      <c r="J109" s="337" t="n"/>
      <c r="K109" s="337" t="n"/>
      <c r="L109" s="337" t="n">
        <v>372</v>
      </c>
      <c r="M109" s="317" t="inlineStr">
        <is>
          <t>Ireland</t>
        </is>
      </c>
      <c r="N109" s="337" t="inlineStr">
        <is>
          <t>IE</t>
        </is>
      </c>
    </row>
    <row r="110" ht="18" customHeight="1" s="290">
      <c r="A110" s="317" t="n"/>
      <c r="B110" s="337" t="inlineStr">
        <is>
          <t>MOP</t>
        </is>
      </c>
      <c r="C110" s="554" t="n"/>
      <c r="D110" s="554" t="n"/>
      <c r="E110" s="554" t="n"/>
      <c r="F110" s="337" t="n"/>
      <c r="G110" s="337" t="n"/>
      <c r="H110" s="337" t="n"/>
      <c r="I110" s="337" t="n"/>
      <c r="J110" s="337" t="n"/>
      <c r="K110" s="337" t="n"/>
      <c r="L110" s="337" t="n">
        <v>833</v>
      </c>
      <c r="M110" s="317" t="inlineStr">
        <is>
          <t>Isle of Man</t>
        </is>
      </c>
      <c r="N110" s="337" t="inlineStr">
        <is>
          <t>IM</t>
        </is>
      </c>
    </row>
    <row r="111" ht="18" customHeight="1" s="290">
      <c r="A111" s="317" t="n"/>
      <c r="B111" s="337" t="inlineStr">
        <is>
          <t>MRO</t>
        </is>
      </c>
      <c r="C111" s="554" t="n"/>
      <c r="D111" s="554" t="n"/>
      <c r="E111" s="554" t="n"/>
      <c r="F111" s="337" t="n"/>
      <c r="G111" s="337" t="n"/>
      <c r="H111" s="337" t="n"/>
      <c r="I111" s="337" t="n"/>
      <c r="J111" s="337" t="n"/>
      <c r="K111" s="337" t="n"/>
      <c r="L111" s="337" t="n">
        <v>376</v>
      </c>
      <c r="M111" s="317" t="inlineStr">
        <is>
          <t>Israel</t>
        </is>
      </c>
      <c r="N111" s="337" t="inlineStr">
        <is>
          <t>IL</t>
        </is>
      </c>
    </row>
    <row r="112" ht="18" customHeight="1" s="290">
      <c r="A112" s="317" t="n"/>
      <c r="B112" s="337" t="inlineStr">
        <is>
          <t>MUR</t>
        </is>
      </c>
      <c r="C112" s="554" t="n"/>
      <c r="D112" s="554" t="n"/>
      <c r="E112" s="554" t="n"/>
      <c r="F112" s="337" t="n"/>
      <c r="G112" s="337" t="n"/>
      <c r="H112" s="337" t="n"/>
      <c r="I112" s="337" t="n"/>
      <c r="J112" s="337" t="n"/>
      <c r="K112" s="337" t="n"/>
      <c r="L112" s="337" t="n">
        <v>380</v>
      </c>
      <c r="M112" s="317" t="inlineStr">
        <is>
          <t>Italy</t>
        </is>
      </c>
      <c r="N112" s="337" t="inlineStr">
        <is>
          <t>IT</t>
        </is>
      </c>
    </row>
    <row r="113" ht="18" customHeight="1" s="290">
      <c r="A113" s="317" t="n"/>
      <c r="B113" s="337" t="inlineStr">
        <is>
          <t>MVR</t>
        </is>
      </c>
      <c r="C113" s="554" t="n"/>
      <c r="D113" s="554" t="n"/>
      <c r="E113" s="554" t="n"/>
      <c r="F113" s="337" t="n"/>
      <c r="G113" s="337" t="n"/>
      <c r="H113" s="337" t="n"/>
      <c r="I113" s="337" t="n"/>
      <c r="J113" s="337" t="n"/>
      <c r="K113" s="337" t="n"/>
      <c r="L113" s="337" t="n">
        <v>388</v>
      </c>
      <c r="M113" s="317" t="inlineStr">
        <is>
          <t>Jamaica</t>
        </is>
      </c>
      <c r="N113" s="337" t="inlineStr">
        <is>
          <t>JM</t>
        </is>
      </c>
    </row>
    <row r="114" ht="18" customHeight="1" s="290">
      <c r="A114" s="317" t="n"/>
      <c r="B114" s="337" t="inlineStr">
        <is>
          <t>MWK</t>
        </is>
      </c>
      <c r="C114" s="554" t="n"/>
      <c r="D114" s="554" t="n"/>
      <c r="E114" s="554" t="n"/>
      <c r="F114" s="337" t="n"/>
      <c r="G114" s="337" t="n"/>
      <c r="H114" s="337" t="n"/>
      <c r="I114" s="337" t="n"/>
      <c r="J114" s="337" t="n"/>
      <c r="K114" s="337" t="n"/>
      <c r="L114" s="337" t="n">
        <v>392</v>
      </c>
      <c r="M114" s="317" t="inlineStr">
        <is>
          <t>Japan</t>
        </is>
      </c>
      <c r="N114" s="337" t="inlineStr">
        <is>
          <t>JP</t>
        </is>
      </c>
    </row>
    <row r="115" ht="18" customHeight="1" s="290">
      <c r="A115" s="317" t="n"/>
      <c r="B115" s="337" t="inlineStr">
        <is>
          <t>MXN</t>
        </is>
      </c>
      <c r="C115" s="554" t="n"/>
      <c r="D115" s="554" t="n"/>
      <c r="E115" s="554" t="n"/>
      <c r="F115" s="337" t="n"/>
      <c r="G115" s="337" t="n"/>
      <c r="H115" s="337" t="n"/>
      <c r="I115" s="337" t="n"/>
      <c r="J115" s="337" t="n"/>
      <c r="K115" s="337" t="n"/>
      <c r="L115" s="337" t="n">
        <v>832</v>
      </c>
      <c r="M115" s="317" t="inlineStr">
        <is>
          <t>Jersey</t>
        </is>
      </c>
      <c r="N115" s="337" t="inlineStr">
        <is>
          <t>JE</t>
        </is>
      </c>
    </row>
    <row r="116" ht="18" customHeight="1" s="290">
      <c r="A116" s="317" t="n"/>
      <c r="B116" s="337" t="inlineStr">
        <is>
          <t>MXV</t>
        </is>
      </c>
      <c r="C116" s="554" t="n"/>
      <c r="D116" s="554" t="n"/>
      <c r="E116" s="554" t="n"/>
      <c r="F116" s="337" t="n"/>
      <c r="G116" s="337" t="n"/>
      <c r="H116" s="337" t="n"/>
      <c r="I116" s="337" t="n"/>
      <c r="J116" s="337" t="n"/>
      <c r="K116" s="337" t="n"/>
      <c r="L116" s="337" t="n">
        <v>400</v>
      </c>
      <c r="M116" s="317" t="inlineStr">
        <is>
          <t>Jordan</t>
        </is>
      </c>
      <c r="N116" s="337" t="inlineStr">
        <is>
          <t>JO</t>
        </is>
      </c>
    </row>
    <row r="117" ht="18" customHeight="1" s="290">
      <c r="A117" s="317" t="n"/>
      <c r="B117" s="337" t="inlineStr">
        <is>
          <t>MYR</t>
        </is>
      </c>
      <c r="C117" s="554" t="n"/>
      <c r="D117" s="554" t="n"/>
      <c r="E117" s="554" t="n"/>
      <c r="F117" s="337" t="n"/>
      <c r="G117" s="337" t="n"/>
      <c r="H117" s="337" t="n"/>
      <c r="I117" s="337" t="n"/>
      <c r="J117" s="337" t="n"/>
      <c r="K117" s="337" t="n"/>
      <c r="L117" s="337" t="n">
        <v>398</v>
      </c>
      <c r="M117" s="317" t="inlineStr">
        <is>
          <t>Kazakhstan</t>
        </is>
      </c>
      <c r="N117" s="337" t="inlineStr">
        <is>
          <t>KZ</t>
        </is>
      </c>
    </row>
    <row r="118" ht="18" customHeight="1" s="290">
      <c r="A118" s="317" t="n"/>
      <c r="B118" s="337" t="inlineStr">
        <is>
          <t>MZN</t>
        </is>
      </c>
      <c r="C118" s="554" t="n"/>
      <c r="D118" s="554" t="n"/>
      <c r="E118" s="554" t="n"/>
      <c r="F118" s="337" t="n"/>
      <c r="G118" s="337" t="n"/>
      <c r="H118" s="337" t="n"/>
      <c r="I118" s="337" t="n"/>
      <c r="J118" s="337" t="n"/>
      <c r="K118" s="337" t="n"/>
      <c r="L118" s="337" t="n">
        <v>404</v>
      </c>
      <c r="M118" s="317" t="inlineStr">
        <is>
          <t>Kenya</t>
        </is>
      </c>
      <c r="N118" s="337" t="inlineStr">
        <is>
          <t>KE</t>
        </is>
      </c>
    </row>
    <row r="119" ht="18" customHeight="1" s="290">
      <c r="A119" s="317" t="n"/>
      <c r="B119" s="337" t="inlineStr">
        <is>
          <t>NAD</t>
        </is>
      </c>
      <c r="C119" s="554" t="n"/>
      <c r="D119" s="554" t="n"/>
      <c r="E119" s="554" t="n"/>
      <c r="F119" s="337" t="n"/>
      <c r="G119" s="337" t="n"/>
      <c r="H119" s="337" t="n"/>
      <c r="I119" s="337" t="n"/>
      <c r="J119" s="337" t="n"/>
      <c r="K119" s="337" t="n"/>
      <c r="L119" s="337" t="n">
        <v>296</v>
      </c>
      <c r="M119" s="317" t="inlineStr">
        <is>
          <t>Kiribati</t>
        </is>
      </c>
      <c r="N119" s="337" t="inlineStr">
        <is>
          <t>KI</t>
        </is>
      </c>
    </row>
    <row r="120" ht="18" customHeight="1" s="290">
      <c r="A120" s="317" t="n"/>
      <c r="B120" s="337" t="inlineStr">
        <is>
          <t>NGN</t>
        </is>
      </c>
      <c r="C120" s="554" t="n"/>
      <c r="D120" s="554" t="n"/>
      <c r="E120" s="554" t="n"/>
      <c r="F120" s="337" t="n"/>
      <c r="G120" s="337" t="n"/>
      <c r="H120" s="337" t="n"/>
      <c r="I120" s="337" t="n"/>
      <c r="J120" s="337" t="n"/>
      <c r="K120" s="337" t="n"/>
      <c r="L120" s="337" t="n">
        <v>408</v>
      </c>
      <c r="M120" s="317" t="inlineStr">
        <is>
          <t>Korea, Democratic People's Republic of</t>
        </is>
      </c>
      <c r="N120" s="337" t="inlineStr">
        <is>
          <t>KP</t>
        </is>
      </c>
    </row>
    <row r="121" ht="18" customHeight="1" s="290">
      <c r="A121" s="317" t="n"/>
      <c r="B121" s="337" t="inlineStr">
        <is>
          <t>NIO</t>
        </is>
      </c>
      <c r="C121" s="554" t="n"/>
      <c r="D121" s="554" t="n"/>
      <c r="E121" s="554" t="n"/>
      <c r="F121" s="337" t="n"/>
      <c r="G121" s="337" t="n"/>
      <c r="H121" s="337" t="n"/>
      <c r="I121" s="337" t="n"/>
      <c r="J121" s="337" t="n"/>
      <c r="K121" s="337" t="n"/>
      <c r="L121" s="337" t="n">
        <v>410</v>
      </c>
      <c r="M121" s="317" t="inlineStr">
        <is>
          <t>Korea, Republic of</t>
        </is>
      </c>
      <c r="N121" s="337" t="inlineStr">
        <is>
          <t>KR</t>
        </is>
      </c>
    </row>
    <row r="122" ht="18" customHeight="1" s="290">
      <c r="A122" s="317" t="n"/>
      <c r="B122" s="337" t="inlineStr">
        <is>
          <t>NOK</t>
        </is>
      </c>
      <c r="C122" s="554" t="n"/>
      <c r="D122" s="554" t="n"/>
      <c r="E122" s="554" t="n"/>
      <c r="F122" s="337" t="n"/>
      <c r="G122" s="337" t="n"/>
      <c r="H122" s="337" t="n"/>
      <c r="I122" s="337" t="n"/>
      <c r="J122" s="337" t="n"/>
      <c r="K122" s="337" t="n"/>
      <c r="L122" s="337" t="n">
        <v>414</v>
      </c>
      <c r="M122" s="317" t="inlineStr">
        <is>
          <t>Kuwait</t>
        </is>
      </c>
      <c r="N122" s="337" t="inlineStr">
        <is>
          <t>KW</t>
        </is>
      </c>
    </row>
    <row r="123" ht="18" customHeight="1" s="290">
      <c r="A123" s="317" t="n"/>
      <c r="B123" s="337" t="inlineStr">
        <is>
          <t>NPR</t>
        </is>
      </c>
      <c r="C123" s="554" t="n"/>
      <c r="D123" s="554" t="n"/>
      <c r="E123" s="554" t="n"/>
      <c r="F123" s="337" t="n"/>
      <c r="G123" s="337" t="n"/>
      <c r="H123" s="337" t="n"/>
      <c r="I123" s="337" t="n"/>
      <c r="J123" s="337" t="n"/>
      <c r="K123" s="337" t="n"/>
      <c r="L123" s="337" t="n">
        <v>417</v>
      </c>
      <c r="M123" s="317" t="inlineStr">
        <is>
          <t>Kyrgyzstan</t>
        </is>
      </c>
      <c r="N123" s="337" t="inlineStr">
        <is>
          <t>KG</t>
        </is>
      </c>
    </row>
    <row r="124" ht="18" customHeight="1" s="290">
      <c r="A124" s="317" t="n"/>
      <c r="B124" s="337" t="inlineStr">
        <is>
          <t>NZD</t>
        </is>
      </c>
      <c r="C124" s="554" t="n"/>
      <c r="D124" s="554" t="n"/>
      <c r="E124" s="554" t="n"/>
      <c r="F124" s="337" t="n"/>
      <c r="G124" s="337" t="n"/>
      <c r="H124" s="337" t="n"/>
      <c r="I124" s="337" t="n"/>
      <c r="J124" s="337" t="n"/>
      <c r="K124" s="337" t="n"/>
      <c r="L124" s="337" t="n">
        <v>418</v>
      </c>
      <c r="M124" s="317" t="inlineStr">
        <is>
          <t>Lao People's Democratic Republic</t>
        </is>
      </c>
      <c r="N124" s="337" t="inlineStr">
        <is>
          <t>LA</t>
        </is>
      </c>
    </row>
    <row r="125" ht="18" customHeight="1" s="290">
      <c r="A125" s="317" t="n"/>
      <c r="B125" s="337" t="inlineStr">
        <is>
          <t>OMR</t>
        </is>
      </c>
      <c r="C125" s="554" t="n"/>
      <c r="D125" s="554" t="n"/>
      <c r="E125" s="554" t="n"/>
      <c r="F125" s="337" t="n"/>
      <c r="G125" s="337" t="n"/>
      <c r="H125" s="337" t="n"/>
      <c r="I125" s="337" t="n"/>
      <c r="J125" s="337" t="n"/>
      <c r="K125" s="337" t="n"/>
      <c r="L125" s="337" t="n">
        <v>428</v>
      </c>
      <c r="M125" s="317" t="inlineStr">
        <is>
          <t>Latvia</t>
        </is>
      </c>
      <c r="N125" s="337" t="inlineStr">
        <is>
          <t>LV</t>
        </is>
      </c>
    </row>
    <row r="126" ht="18" customHeight="1" s="290">
      <c r="A126" s="317" t="n"/>
      <c r="B126" s="337" t="inlineStr">
        <is>
          <t>PAB</t>
        </is>
      </c>
      <c r="C126" s="554" t="n"/>
      <c r="D126" s="554" t="n"/>
      <c r="E126" s="554" t="n"/>
      <c r="F126" s="337" t="n"/>
      <c r="G126" s="337" t="n"/>
      <c r="H126" s="337" t="n"/>
      <c r="I126" s="337" t="n"/>
      <c r="J126" s="337" t="n"/>
      <c r="K126" s="337" t="n"/>
      <c r="L126" s="337" t="n">
        <v>422</v>
      </c>
      <c r="M126" s="317" t="inlineStr">
        <is>
          <t>Lebanon</t>
        </is>
      </c>
      <c r="N126" s="337" t="inlineStr">
        <is>
          <t>LB</t>
        </is>
      </c>
    </row>
    <row r="127" ht="18" customHeight="1" s="290">
      <c r="A127" s="317" t="n"/>
      <c r="B127" s="337" t="inlineStr">
        <is>
          <t>PEN</t>
        </is>
      </c>
      <c r="C127" s="554" t="n"/>
      <c r="D127" s="554" t="n"/>
      <c r="E127" s="554" t="n"/>
      <c r="F127" s="337" t="n"/>
      <c r="G127" s="337" t="n"/>
      <c r="H127" s="337" t="n"/>
      <c r="I127" s="337" t="n"/>
      <c r="J127" s="337" t="n"/>
      <c r="K127" s="337" t="n"/>
      <c r="L127" s="337" t="n">
        <v>426</v>
      </c>
      <c r="M127" s="317" t="inlineStr">
        <is>
          <t>Lesotho</t>
        </is>
      </c>
      <c r="N127" s="337" t="inlineStr">
        <is>
          <t>LS</t>
        </is>
      </c>
    </row>
    <row r="128" ht="18" customHeight="1" s="290">
      <c r="A128" s="317" t="n"/>
      <c r="B128" s="337" t="inlineStr">
        <is>
          <t>PGK</t>
        </is>
      </c>
      <c r="C128" s="554" t="n"/>
      <c r="D128" s="554" t="n"/>
      <c r="E128" s="554" t="n"/>
      <c r="F128" s="337" t="n"/>
      <c r="G128" s="337" t="n"/>
      <c r="H128" s="337" t="n"/>
      <c r="I128" s="337" t="n"/>
      <c r="J128" s="337" t="n"/>
      <c r="K128" s="337" t="n"/>
      <c r="L128" s="337" t="n">
        <v>430</v>
      </c>
      <c r="M128" s="317" t="inlineStr">
        <is>
          <t>Liberia</t>
        </is>
      </c>
      <c r="N128" s="337" t="inlineStr">
        <is>
          <t>LR</t>
        </is>
      </c>
    </row>
    <row r="129" ht="18" customHeight="1" s="290">
      <c r="A129" s="317" t="n"/>
      <c r="B129" s="337" t="inlineStr">
        <is>
          <t>PHP</t>
        </is>
      </c>
      <c r="C129" s="554" t="n"/>
      <c r="D129" s="554" t="n"/>
      <c r="E129" s="554" t="n"/>
      <c r="F129" s="337" t="n"/>
      <c r="G129" s="337" t="n"/>
      <c r="H129" s="337" t="n"/>
      <c r="I129" s="337" t="n"/>
      <c r="J129" s="337" t="n"/>
      <c r="K129" s="337" t="n"/>
      <c r="L129" s="337" t="n">
        <v>434</v>
      </c>
      <c r="M129" s="317" t="inlineStr">
        <is>
          <t>Libya</t>
        </is>
      </c>
      <c r="N129" s="337" t="inlineStr">
        <is>
          <t>LY</t>
        </is>
      </c>
    </row>
    <row r="130" ht="18" customHeight="1" s="290">
      <c r="A130" s="317" t="n"/>
      <c r="B130" s="337" t="inlineStr">
        <is>
          <t>PKR</t>
        </is>
      </c>
      <c r="C130" s="554" t="n"/>
      <c r="D130" s="554" t="n"/>
      <c r="E130" s="554" t="n"/>
      <c r="F130" s="337" t="n"/>
      <c r="G130" s="337" t="n"/>
      <c r="H130" s="337" t="n"/>
      <c r="I130" s="337" t="n"/>
      <c r="J130" s="337" t="n"/>
      <c r="K130" s="337" t="n"/>
      <c r="L130" s="337" t="n">
        <v>438</v>
      </c>
      <c r="M130" s="317" t="inlineStr">
        <is>
          <t>Liechtenstein</t>
        </is>
      </c>
      <c r="N130" s="337" t="inlineStr">
        <is>
          <t>LI</t>
        </is>
      </c>
    </row>
    <row r="131" ht="18" customHeight="1" s="290">
      <c r="A131" s="317" t="n"/>
      <c r="B131" s="337" t="inlineStr">
        <is>
          <t>PLN</t>
        </is>
      </c>
      <c r="C131" s="554" t="n"/>
      <c r="D131" s="554" t="n"/>
      <c r="E131" s="554" t="n"/>
      <c r="F131" s="337" t="n"/>
      <c r="G131" s="337" t="n"/>
      <c r="H131" s="337" t="n"/>
      <c r="I131" s="337" t="n"/>
      <c r="J131" s="337" t="n"/>
      <c r="K131" s="337" t="n"/>
      <c r="L131" s="337" t="n">
        <v>440</v>
      </c>
      <c r="M131" s="317" t="inlineStr">
        <is>
          <t>Lithuania</t>
        </is>
      </c>
      <c r="N131" s="337" t="inlineStr">
        <is>
          <t>LT</t>
        </is>
      </c>
    </row>
    <row r="132" ht="18" customHeight="1" s="290">
      <c r="A132" s="317" t="n"/>
      <c r="B132" s="337" t="inlineStr">
        <is>
          <t>PYG</t>
        </is>
      </c>
      <c r="C132" s="554" t="n"/>
      <c r="D132" s="554" t="n"/>
      <c r="E132" s="554" t="n"/>
      <c r="F132" s="337" t="n"/>
      <c r="G132" s="337" t="n"/>
      <c r="H132" s="337" t="n"/>
      <c r="I132" s="337" t="n"/>
      <c r="J132" s="337" t="n"/>
      <c r="K132" s="337" t="n"/>
      <c r="L132" s="337" t="n">
        <v>442</v>
      </c>
      <c r="M132" s="317" t="inlineStr">
        <is>
          <t>Luxembourg</t>
        </is>
      </c>
      <c r="N132" s="337" t="inlineStr">
        <is>
          <t>LU</t>
        </is>
      </c>
    </row>
    <row r="133" ht="18" customHeight="1" s="290">
      <c r="A133" s="317" t="n"/>
      <c r="B133" s="337" t="inlineStr">
        <is>
          <t>QAR</t>
        </is>
      </c>
      <c r="C133" s="554" t="n"/>
      <c r="D133" s="554" t="n"/>
      <c r="E133" s="554" t="n"/>
      <c r="F133" s="337" t="n"/>
      <c r="G133" s="337" t="n"/>
      <c r="H133" s="337" t="n"/>
      <c r="I133" s="337" t="n"/>
      <c r="J133" s="337" t="n"/>
      <c r="K133" s="337" t="n"/>
      <c r="L133" s="337" t="n">
        <v>446</v>
      </c>
      <c r="M133" s="317" t="inlineStr">
        <is>
          <t>Macao</t>
        </is>
      </c>
      <c r="N133" s="337" t="inlineStr">
        <is>
          <t>MO</t>
        </is>
      </c>
    </row>
    <row r="134" ht="18" customHeight="1" s="290">
      <c r="A134" s="317" t="n"/>
      <c r="B134" s="337" t="inlineStr">
        <is>
          <t>RON</t>
        </is>
      </c>
      <c r="C134" s="554" t="n"/>
      <c r="D134" s="554" t="n"/>
      <c r="E134" s="554" t="n"/>
      <c r="F134" s="337" t="n"/>
      <c r="G134" s="337" t="n"/>
      <c r="H134" s="337" t="n"/>
      <c r="I134" s="337" t="n"/>
      <c r="J134" s="337" t="n"/>
      <c r="K134" s="337" t="n"/>
      <c r="L134" s="337" t="n">
        <v>807</v>
      </c>
      <c r="M134" s="317" t="inlineStr">
        <is>
          <t>Macedonia, the former Yugoslav Republic of</t>
        </is>
      </c>
      <c r="N134" s="337" t="inlineStr">
        <is>
          <t>MK</t>
        </is>
      </c>
    </row>
    <row r="135" ht="18" customHeight="1" s="290">
      <c r="A135" s="317" t="n"/>
      <c r="B135" s="337" t="inlineStr">
        <is>
          <t>RSD</t>
        </is>
      </c>
      <c r="C135" s="554" t="n"/>
      <c r="D135" s="554" t="n"/>
      <c r="E135" s="554" t="n"/>
      <c r="F135" s="337" t="n"/>
      <c r="G135" s="337" t="n"/>
      <c r="H135" s="337" t="n"/>
      <c r="I135" s="337" t="n"/>
      <c r="J135" s="337" t="n"/>
      <c r="K135" s="337" t="n"/>
      <c r="L135" s="337" t="n">
        <v>450</v>
      </c>
      <c r="M135" s="317" t="inlineStr">
        <is>
          <t>Madagascar</t>
        </is>
      </c>
      <c r="N135" s="337" t="inlineStr">
        <is>
          <t>MG</t>
        </is>
      </c>
    </row>
    <row r="136" ht="18" customHeight="1" s="290">
      <c r="A136" s="317" t="n"/>
      <c r="B136" s="337" t="inlineStr">
        <is>
          <t>RUB</t>
        </is>
      </c>
      <c r="C136" s="554" t="n"/>
      <c r="D136" s="554" t="n"/>
      <c r="E136" s="554" t="n"/>
      <c r="F136" s="337" t="n"/>
      <c r="G136" s="337" t="n"/>
      <c r="H136" s="337" t="n"/>
      <c r="I136" s="337" t="n"/>
      <c r="J136" s="337" t="n"/>
      <c r="K136" s="337" t="n"/>
      <c r="L136" s="337" t="n">
        <v>454</v>
      </c>
      <c r="M136" s="317" t="inlineStr">
        <is>
          <t>Malawi</t>
        </is>
      </c>
      <c r="N136" s="337" t="inlineStr">
        <is>
          <t>MW</t>
        </is>
      </c>
    </row>
    <row r="137" ht="18" customHeight="1" s="290">
      <c r="A137" s="317" t="n"/>
      <c r="B137" s="337" t="inlineStr">
        <is>
          <t>RWF</t>
        </is>
      </c>
      <c r="C137" s="554" t="n"/>
      <c r="D137" s="554" t="n"/>
      <c r="E137" s="554" t="n"/>
      <c r="F137" s="337" t="n"/>
      <c r="G137" s="337" t="n"/>
      <c r="H137" s="337" t="n"/>
      <c r="I137" s="337" t="n"/>
      <c r="J137" s="337" t="n"/>
      <c r="K137" s="337" t="n"/>
      <c r="L137" s="337" t="n">
        <v>458</v>
      </c>
      <c r="M137" s="317" t="inlineStr">
        <is>
          <t>Malaysia</t>
        </is>
      </c>
      <c r="N137" s="337" t="inlineStr">
        <is>
          <t>MY</t>
        </is>
      </c>
    </row>
    <row r="138" ht="18" customHeight="1" s="290">
      <c r="A138" s="317" t="n"/>
      <c r="B138" s="337" t="inlineStr">
        <is>
          <t>SAR</t>
        </is>
      </c>
      <c r="C138" s="554" t="n"/>
      <c r="D138" s="554" t="n"/>
      <c r="E138" s="554" t="n"/>
      <c r="F138" s="337" t="n"/>
      <c r="G138" s="337" t="n"/>
      <c r="H138" s="337" t="n"/>
      <c r="I138" s="337" t="n"/>
      <c r="J138" s="337" t="n"/>
      <c r="K138" s="337" t="n"/>
      <c r="L138" s="337" t="n">
        <v>462</v>
      </c>
      <c r="M138" s="317" t="inlineStr">
        <is>
          <t>Maldives</t>
        </is>
      </c>
      <c r="N138" s="337" t="inlineStr">
        <is>
          <t>MV</t>
        </is>
      </c>
    </row>
    <row r="139" ht="18" customHeight="1" s="290">
      <c r="A139" s="317" t="n"/>
      <c r="B139" s="337" t="inlineStr">
        <is>
          <t>SBD</t>
        </is>
      </c>
      <c r="C139" s="554" t="n"/>
      <c r="D139" s="554" t="n"/>
      <c r="E139" s="554" t="n"/>
      <c r="F139" s="337" t="n"/>
      <c r="G139" s="337" t="n"/>
      <c r="H139" s="337" t="n"/>
      <c r="I139" s="337" t="n"/>
      <c r="J139" s="337" t="n"/>
      <c r="K139" s="337" t="n"/>
      <c r="L139" s="337" t="n">
        <v>466</v>
      </c>
      <c r="M139" s="317" t="inlineStr">
        <is>
          <t>Mali</t>
        </is>
      </c>
      <c r="N139" s="337" t="inlineStr">
        <is>
          <t>ML</t>
        </is>
      </c>
    </row>
    <row r="140" ht="18" customHeight="1" s="290">
      <c r="A140" s="317" t="n"/>
      <c r="B140" s="337" t="inlineStr">
        <is>
          <t>SCR</t>
        </is>
      </c>
      <c r="C140" s="554" t="n"/>
      <c r="D140" s="554" t="n"/>
      <c r="E140" s="554" t="n"/>
      <c r="F140" s="337" t="n"/>
      <c r="G140" s="337" t="n"/>
      <c r="H140" s="337" t="n"/>
      <c r="I140" s="337" t="n"/>
      <c r="J140" s="337" t="n"/>
      <c r="K140" s="337" t="n"/>
      <c r="L140" s="337" t="n">
        <v>470</v>
      </c>
      <c r="M140" s="317" t="inlineStr">
        <is>
          <t>Malta</t>
        </is>
      </c>
      <c r="N140" s="337" t="inlineStr">
        <is>
          <t>MT</t>
        </is>
      </c>
    </row>
    <row r="141" ht="18" customHeight="1" s="290">
      <c r="A141" s="317" t="n"/>
      <c r="B141" s="337" t="inlineStr">
        <is>
          <t>SDG</t>
        </is>
      </c>
      <c r="C141" s="554" t="n"/>
      <c r="D141" s="554" t="n"/>
      <c r="E141" s="554" t="n"/>
      <c r="F141" s="337" t="n"/>
      <c r="G141" s="337" t="n"/>
      <c r="H141" s="337" t="n"/>
      <c r="I141" s="337" t="n"/>
      <c r="J141" s="337" t="n"/>
      <c r="K141" s="337" t="n"/>
      <c r="L141" s="337" t="n">
        <v>584</v>
      </c>
      <c r="M141" s="317" t="inlineStr">
        <is>
          <t>Marshall Islands</t>
        </is>
      </c>
      <c r="N141" s="337" t="inlineStr">
        <is>
          <t>MH</t>
        </is>
      </c>
    </row>
    <row r="142" ht="18" customHeight="1" s="290">
      <c r="A142" s="317" t="n"/>
      <c r="B142" s="337" t="inlineStr">
        <is>
          <t>SEK</t>
        </is>
      </c>
      <c r="C142" s="554" t="n"/>
      <c r="D142" s="554" t="n"/>
      <c r="E142" s="554" t="n"/>
      <c r="F142" s="337" t="n"/>
      <c r="G142" s="337" t="n"/>
      <c r="H142" s="337" t="n"/>
      <c r="I142" s="337" t="n"/>
      <c r="J142" s="337" t="n"/>
      <c r="K142" s="337" t="n"/>
      <c r="L142" s="337" t="n">
        <v>474</v>
      </c>
      <c r="M142" s="317" t="inlineStr">
        <is>
          <t>Martinique</t>
        </is>
      </c>
      <c r="N142" s="337" t="inlineStr">
        <is>
          <t>MQ</t>
        </is>
      </c>
    </row>
    <row r="143" ht="18" customHeight="1" s="290">
      <c r="A143" s="317" t="n"/>
      <c r="B143" s="337" t="inlineStr">
        <is>
          <t>SGD</t>
        </is>
      </c>
      <c r="C143" s="554" t="n"/>
      <c r="D143" s="554" t="n"/>
      <c r="E143" s="554" t="n"/>
      <c r="F143" s="337" t="n"/>
      <c r="G143" s="337" t="n"/>
      <c r="H143" s="337" t="n"/>
      <c r="I143" s="337" t="n"/>
      <c r="J143" s="337" t="n"/>
      <c r="K143" s="337" t="n"/>
      <c r="L143" s="337" t="n">
        <v>478</v>
      </c>
      <c r="M143" s="317" t="inlineStr">
        <is>
          <t>Mauritania</t>
        </is>
      </c>
      <c r="N143" s="337" t="inlineStr">
        <is>
          <t>MR</t>
        </is>
      </c>
    </row>
    <row r="144" ht="18" customHeight="1" s="290">
      <c r="A144" s="317" t="n"/>
      <c r="B144" s="337" t="inlineStr">
        <is>
          <t>SHP</t>
        </is>
      </c>
      <c r="C144" s="554" t="n"/>
      <c r="D144" s="554" t="n"/>
      <c r="E144" s="554" t="n"/>
      <c r="F144" s="337" t="n"/>
      <c r="G144" s="337" t="n"/>
      <c r="H144" s="337" t="n"/>
      <c r="I144" s="337" t="n"/>
      <c r="J144" s="337" t="n"/>
      <c r="K144" s="337" t="n"/>
      <c r="L144" s="337" t="n">
        <v>480</v>
      </c>
      <c r="M144" s="317" t="inlineStr">
        <is>
          <t>Mauritius</t>
        </is>
      </c>
      <c r="N144" s="337" t="inlineStr">
        <is>
          <t>MU</t>
        </is>
      </c>
    </row>
    <row r="145" ht="18" customHeight="1" s="290">
      <c r="A145" s="317" t="n"/>
      <c r="B145" s="337" t="inlineStr">
        <is>
          <t>SLL</t>
        </is>
      </c>
      <c r="C145" s="554" t="n"/>
      <c r="D145" s="554" t="n"/>
      <c r="E145" s="554" t="n"/>
      <c r="F145" s="337" t="n"/>
      <c r="G145" s="337" t="n"/>
      <c r="H145" s="337" t="n"/>
      <c r="I145" s="337" t="n"/>
      <c r="J145" s="337" t="n"/>
      <c r="K145" s="337" t="n"/>
      <c r="L145" s="337" t="n">
        <v>175</v>
      </c>
      <c r="M145" s="317" t="inlineStr">
        <is>
          <t>Mayotte</t>
        </is>
      </c>
      <c r="N145" s="337" t="inlineStr">
        <is>
          <t>YT</t>
        </is>
      </c>
    </row>
    <row r="146" ht="18" customHeight="1" s="290">
      <c r="A146" s="317" t="n"/>
      <c r="B146" s="337" t="inlineStr">
        <is>
          <t>SOS</t>
        </is>
      </c>
      <c r="C146" s="554" t="n"/>
      <c r="D146" s="554" t="n"/>
      <c r="E146" s="554" t="n"/>
      <c r="F146" s="337" t="n"/>
      <c r="G146" s="337" t="n"/>
      <c r="H146" s="337" t="n"/>
      <c r="I146" s="337" t="n"/>
      <c r="J146" s="337" t="n"/>
      <c r="K146" s="337" t="n"/>
      <c r="L146" s="337" t="n">
        <v>484</v>
      </c>
      <c r="M146" s="317" t="inlineStr">
        <is>
          <t>Mexico</t>
        </is>
      </c>
      <c r="N146" s="337" t="inlineStr">
        <is>
          <t>MX</t>
        </is>
      </c>
    </row>
    <row r="147" ht="18" customHeight="1" s="290">
      <c r="A147" s="317" t="n"/>
      <c r="B147" s="337" t="inlineStr">
        <is>
          <t>SRD</t>
        </is>
      </c>
      <c r="C147" s="554" t="n"/>
      <c r="D147" s="554" t="n"/>
      <c r="E147" s="554" t="n"/>
      <c r="F147" s="337" t="n"/>
      <c r="G147" s="337" t="n"/>
      <c r="H147" s="337" t="n"/>
      <c r="I147" s="337" t="n"/>
      <c r="J147" s="337" t="n"/>
      <c r="K147" s="337" t="n"/>
      <c r="L147" s="337" t="n">
        <v>583</v>
      </c>
      <c r="M147" s="317" t="inlineStr">
        <is>
          <t>Micronesia, Federated States of</t>
        </is>
      </c>
      <c r="N147" s="337" t="inlineStr">
        <is>
          <t>FM</t>
        </is>
      </c>
    </row>
    <row r="148" ht="18" customHeight="1" s="290">
      <c r="A148" s="317" t="n"/>
      <c r="B148" s="337" t="inlineStr">
        <is>
          <t>SSP</t>
        </is>
      </c>
      <c r="C148" s="554" t="n"/>
      <c r="D148" s="554" t="n"/>
      <c r="E148" s="554" t="n"/>
      <c r="F148" s="337" t="n"/>
      <c r="G148" s="337" t="n"/>
      <c r="H148" s="337" t="n"/>
      <c r="I148" s="337" t="n"/>
      <c r="J148" s="337" t="n"/>
      <c r="K148" s="337" t="n"/>
      <c r="L148" s="337" t="n">
        <v>498</v>
      </c>
      <c r="M148" s="317" t="inlineStr">
        <is>
          <t>Moldova, Republic of</t>
        </is>
      </c>
      <c r="N148" s="337" t="inlineStr">
        <is>
          <t>MD</t>
        </is>
      </c>
    </row>
    <row r="149" ht="18" customHeight="1" s="290">
      <c r="A149" s="317" t="n"/>
      <c r="B149" s="337" t="inlineStr">
        <is>
          <t>STD</t>
        </is>
      </c>
      <c r="C149" s="554" t="n"/>
      <c r="D149" s="554" t="n"/>
      <c r="E149" s="554" t="n"/>
      <c r="F149" s="337" t="n"/>
      <c r="G149" s="337" t="n"/>
      <c r="H149" s="337" t="n"/>
      <c r="I149" s="337" t="n"/>
      <c r="J149" s="337" t="n"/>
      <c r="K149" s="337" t="n"/>
      <c r="L149" s="337" t="n">
        <v>492</v>
      </c>
      <c r="M149" s="317" t="inlineStr">
        <is>
          <t>Monaco</t>
        </is>
      </c>
      <c r="N149" s="337" t="inlineStr">
        <is>
          <t>MC</t>
        </is>
      </c>
    </row>
    <row r="150" ht="18" customHeight="1" s="290">
      <c r="A150" s="317" t="n"/>
      <c r="B150" s="337" t="inlineStr">
        <is>
          <t>SYP</t>
        </is>
      </c>
      <c r="C150" s="554" t="n"/>
      <c r="D150" s="554" t="n"/>
      <c r="E150" s="554" t="n"/>
      <c r="F150" s="337" t="n"/>
      <c r="G150" s="337" t="n"/>
      <c r="H150" s="337" t="n"/>
      <c r="I150" s="337" t="n"/>
      <c r="J150" s="337" t="n"/>
      <c r="K150" s="337" t="n"/>
      <c r="L150" s="337" t="n">
        <v>496</v>
      </c>
      <c r="M150" s="317" t="inlineStr">
        <is>
          <t>Mongolia</t>
        </is>
      </c>
      <c r="N150" s="337" t="inlineStr">
        <is>
          <t>MN</t>
        </is>
      </c>
    </row>
    <row r="151" ht="18" customHeight="1" s="290">
      <c r="A151" s="317" t="n"/>
      <c r="B151" s="337" t="inlineStr">
        <is>
          <t>SZL</t>
        </is>
      </c>
      <c r="C151" s="554" t="n"/>
      <c r="D151" s="554" t="n"/>
      <c r="E151" s="554" t="n"/>
      <c r="F151" s="337" t="n"/>
      <c r="G151" s="337" t="n"/>
      <c r="H151" s="337" t="n"/>
      <c r="I151" s="337" t="n"/>
      <c r="J151" s="337" t="n"/>
      <c r="K151" s="337" t="n"/>
      <c r="L151" s="337" t="n">
        <v>499</v>
      </c>
      <c r="M151" s="317" t="inlineStr">
        <is>
          <t>Montenegro</t>
        </is>
      </c>
      <c r="N151" s="337" t="inlineStr">
        <is>
          <t>ME</t>
        </is>
      </c>
    </row>
    <row r="152" ht="18" customHeight="1" s="290">
      <c r="A152" s="317" t="n"/>
      <c r="B152" s="337" t="inlineStr">
        <is>
          <t>THB</t>
        </is>
      </c>
      <c r="C152" s="554" t="n"/>
      <c r="D152" s="554" t="n"/>
      <c r="E152" s="554" t="n"/>
      <c r="F152" s="337" t="n"/>
      <c r="G152" s="337" t="n"/>
      <c r="H152" s="337" t="n"/>
      <c r="I152" s="337" t="n"/>
      <c r="J152" s="337" t="n"/>
      <c r="K152" s="337" t="n"/>
      <c r="L152" s="337" t="n">
        <v>500</v>
      </c>
      <c r="M152" s="317" t="inlineStr">
        <is>
          <t>Montserrat</t>
        </is>
      </c>
      <c r="N152" s="337" t="inlineStr">
        <is>
          <t>MS</t>
        </is>
      </c>
    </row>
    <row r="153" ht="18" customHeight="1" s="290">
      <c r="A153" s="317" t="n"/>
      <c r="B153" s="337" t="inlineStr">
        <is>
          <t>TJS</t>
        </is>
      </c>
      <c r="C153" s="554" t="n"/>
      <c r="D153" s="554" t="n"/>
      <c r="E153" s="554" t="n"/>
      <c r="F153" s="337" t="n"/>
      <c r="G153" s="337" t="n"/>
      <c r="H153" s="337" t="n"/>
      <c r="I153" s="337" t="n"/>
      <c r="J153" s="337" t="n"/>
      <c r="K153" s="337" t="n"/>
      <c r="L153" s="337" t="n">
        <v>504</v>
      </c>
      <c r="M153" s="317" t="inlineStr">
        <is>
          <t>Morocco</t>
        </is>
      </c>
      <c r="N153" s="337" t="inlineStr">
        <is>
          <t>MA</t>
        </is>
      </c>
    </row>
    <row r="154" ht="18" customHeight="1" s="290">
      <c r="A154" s="317" t="n"/>
      <c r="B154" s="337" t="inlineStr">
        <is>
          <t>TMT</t>
        </is>
      </c>
      <c r="C154" s="554" t="n"/>
      <c r="D154" s="554" t="n"/>
      <c r="E154" s="554" t="n"/>
      <c r="F154" s="337" t="n"/>
      <c r="G154" s="337" t="n"/>
      <c r="H154" s="337" t="n"/>
      <c r="I154" s="337" t="n"/>
      <c r="J154" s="337" t="n"/>
      <c r="K154" s="337" t="n"/>
      <c r="L154" s="337" t="n">
        <v>508</v>
      </c>
      <c r="M154" s="317" t="inlineStr">
        <is>
          <t>Mozambique</t>
        </is>
      </c>
      <c r="N154" s="337" t="inlineStr">
        <is>
          <t>MZ</t>
        </is>
      </c>
    </row>
    <row r="155" ht="18" customHeight="1" s="290">
      <c r="A155" s="317" t="n"/>
      <c r="B155" s="337" t="inlineStr">
        <is>
          <t>TND</t>
        </is>
      </c>
      <c r="C155" s="554" t="n"/>
      <c r="D155" s="554" t="n"/>
      <c r="E155" s="554" t="n"/>
      <c r="F155" s="337" t="n"/>
      <c r="G155" s="337" t="n"/>
      <c r="H155" s="337" t="n"/>
      <c r="I155" s="337" t="n"/>
      <c r="J155" s="337" t="n"/>
      <c r="K155" s="337" t="n"/>
      <c r="L155" s="337" t="n">
        <v>104</v>
      </c>
      <c r="M155" s="317" t="inlineStr">
        <is>
          <t>Myanmar</t>
        </is>
      </c>
      <c r="N155" s="337" t="inlineStr">
        <is>
          <t>MM</t>
        </is>
      </c>
    </row>
    <row r="156" ht="18" customHeight="1" s="290">
      <c r="A156" s="317" t="n"/>
      <c r="B156" s="337" t="inlineStr">
        <is>
          <t>TOP</t>
        </is>
      </c>
      <c r="C156" s="554" t="n"/>
      <c r="D156" s="554" t="n"/>
      <c r="E156" s="554" t="n"/>
      <c r="F156" s="337" t="n"/>
      <c r="G156" s="337" t="n"/>
      <c r="H156" s="337" t="n"/>
      <c r="I156" s="337" t="n"/>
      <c r="J156" s="337" t="n"/>
      <c r="K156" s="337" t="n"/>
      <c r="L156" s="337" t="n">
        <v>516</v>
      </c>
      <c r="M156" s="317" t="inlineStr">
        <is>
          <t>Namibia</t>
        </is>
      </c>
      <c r="N156" s="337" t="inlineStr">
        <is>
          <t>NA</t>
        </is>
      </c>
    </row>
    <row r="157" ht="18" customHeight="1" s="290">
      <c r="A157" s="317" t="n"/>
      <c r="B157" s="337" t="inlineStr">
        <is>
          <t>TRY</t>
        </is>
      </c>
      <c r="C157" s="554" t="n"/>
      <c r="D157" s="554" t="n"/>
      <c r="E157" s="554" t="n"/>
      <c r="F157" s="337" t="n"/>
      <c r="G157" s="337" t="n"/>
      <c r="H157" s="337" t="n"/>
      <c r="I157" s="337" t="n"/>
      <c r="J157" s="337" t="n"/>
      <c r="K157" s="337" t="n"/>
      <c r="L157" s="337" t="n">
        <v>520</v>
      </c>
      <c r="M157" s="317" t="inlineStr">
        <is>
          <t>Nauru</t>
        </is>
      </c>
      <c r="N157" s="337" t="inlineStr">
        <is>
          <t>NR</t>
        </is>
      </c>
    </row>
    <row r="158" ht="18" customHeight="1" s="290">
      <c r="A158" s="317" t="n"/>
      <c r="B158" s="337" t="inlineStr">
        <is>
          <t>TTD</t>
        </is>
      </c>
      <c r="C158" s="554" t="n"/>
      <c r="D158" s="554" t="n"/>
      <c r="E158" s="554" t="n"/>
      <c r="F158" s="337" t="n"/>
      <c r="G158" s="337" t="n"/>
      <c r="H158" s="337" t="n"/>
      <c r="I158" s="337" t="n"/>
      <c r="J158" s="337" t="n"/>
      <c r="K158" s="337" t="n"/>
      <c r="L158" s="337" t="n">
        <v>524</v>
      </c>
      <c r="M158" s="317" t="inlineStr">
        <is>
          <t>Nepal</t>
        </is>
      </c>
      <c r="N158" s="337" t="inlineStr">
        <is>
          <t>NP</t>
        </is>
      </c>
    </row>
    <row r="159" ht="18" customHeight="1" s="290">
      <c r="A159" s="317" t="n"/>
      <c r="B159" s="337" t="inlineStr">
        <is>
          <t>TWD</t>
        </is>
      </c>
      <c r="C159" s="554" t="n"/>
      <c r="D159" s="554" t="n"/>
      <c r="E159" s="554" t="n"/>
      <c r="F159" s="337" t="n"/>
      <c r="G159" s="337" t="n"/>
      <c r="H159" s="337" t="n"/>
      <c r="I159" s="337" t="n"/>
      <c r="J159" s="337" t="n"/>
      <c r="K159" s="337" t="n"/>
      <c r="L159" s="337" t="n">
        <v>528</v>
      </c>
      <c r="M159" s="317" t="inlineStr">
        <is>
          <t>Netherlands</t>
        </is>
      </c>
      <c r="N159" s="337" t="inlineStr">
        <is>
          <t>NL</t>
        </is>
      </c>
    </row>
    <row r="160" ht="18" customHeight="1" s="290">
      <c r="A160" s="317" t="n"/>
      <c r="B160" s="337" t="inlineStr">
        <is>
          <t>TZS</t>
        </is>
      </c>
      <c r="C160" s="554" t="n"/>
      <c r="D160" s="554" t="n"/>
      <c r="E160" s="554" t="n"/>
      <c r="F160" s="337" t="n"/>
      <c r="G160" s="337" t="n"/>
      <c r="H160" s="337" t="n"/>
      <c r="I160" s="337" t="n"/>
      <c r="J160" s="337" t="n"/>
      <c r="K160" s="337" t="n"/>
      <c r="L160" s="337" t="n">
        <v>540</v>
      </c>
      <c r="M160" s="317" t="inlineStr">
        <is>
          <t>New Caledonia</t>
        </is>
      </c>
      <c r="N160" s="337" t="inlineStr">
        <is>
          <t>NC</t>
        </is>
      </c>
    </row>
    <row r="161" ht="18" customHeight="1" s="290">
      <c r="A161" s="317" t="n"/>
      <c r="B161" s="337" t="inlineStr">
        <is>
          <t>UAH</t>
        </is>
      </c>
      <c r="C161" s="554" t="n"/>
      <c r="D161" s="554" t="n"/>
      <c r="E161" s="554" t="n"/>
      <c r="F161" s="337" t="n"/>
      <c r="G161" s="337" t="n"/>
      <c r="H161" s="337" t="n"/>
      <c r="I161" s="337" t="n"/>
      <c r="J161" s="337" t="n"/>
      <c r="K161" s="337" t="n"/>
      <c r="L161" s="337" t="n">
        <v>554</v>
      </c>
      <c r="M161" s="317" t="inlineStr">
        <is>
          <t>New Zealand</t>
        </is>
      </c>
      <c r="N161" s="337" t="inlineStr">
        <is>
          <t>NZ</t>
        </is>
      </c>
    </row>
    <row r="162" ht="18" customHeight="1" s="290">
      <c r="A162" s="317" t="n"/>
      <c r="B162" s="337" t="inlineStr">
        <is>
          <t>UGX</t>
        </is>
      </c>
      <c r="C162" s="554" t="n"/>
      <c r="D162" s="554" t="n"/>
      <c r="E162" s="554" t="n"/>
      <c r="F162" s="337" t="n"/>
      <c r="G162" s="337" t="n"/>
      <c r="H162" s="337" t="n"/>
      <c r="I162" s="337" t="n"/>
      <c r="J162" s="337" t="n"/>
      <c r="K162" s="337" t="n"/>
      <c r="L162" s="337" t="n">
        <v>558</v>
      </c>
      <c r="M162" s="317" t="inlineStr">
        <is>
          <t>Nicaragua</t>
        </is>
      </c>
      <c r="N162" s="337" t="inlineStr">
        <is>
          <t>NI</t>
        </is>
      </c>
    </row>
    <row r="163" ht="18" customHeight="1" s="290">
      <c r="A163" s="317" t="n"/>
      <c r="B163" s="337" t="inlineStr">
        <is>
          <t>USD</t>
        </is>
      </c>
      <c r="C163" s="554" t="n"/>
      <c r="D163" s="554" t="n"/>
      <c r="E163" s="554" t="n"/>
      <c r="F163" s="337" t="n"/>
      <c r="G163" s="337" t="n"/>
      <c r="H163" s="337" t="n"/>
      <c r="I163" s="337" t="n"/>
      <c r="J163" s="337" t="n"/>
      <c r="K163" s="337" t="n"/>
      <c r="L163" s="337" t="n">
        <v>562</v>
      </c>
      <c r="M163" s="317" t="inlineStr">
        <is>
          <t>Niger</t>
        </is>
      </c>
      <c r="N163" s="337" t="inlineStr">
        <is>
          <t>NE</t>
        </is>
      </c>
    </row>
    <row r="164" ht="18" customHeight="1" s="290">
      <c r="A164" s="317" t="n"/>
      <c r="B164" s="337" t="inlineStr">
        <is>
          <t>USN</t>
        </is>
      </c>
      <c r="C164" s="554" t="n"/>
      <c r="D164" s="554" t="n"/>
      <c r="E164" s="554" t="n"/>
      <c r="F164" s="337" t="n"/>
      <c r="G164" s="337" t="n"/>
      <c r="H164" s="337" t="n"/>
      <c r="I164" s="337" t="n"/>
      <c r="J164" s="337" t="n"/>
      <c r="K164" s="337" t="n"/>
      <c r="L164" s="337" t="n">
        <v>566</v>
      </c>
      <c r="M164" s="317" t="inlineStr">
        <is>
          <t>Nigeria</t>
        </is>
      </c>
      <c r="N164" s="337" t="inlineStr">
        <is>
          <t>NG</t>
        </is>
      </c>
    </row>
    <row r="165" ht="18" customHeight="1" s="290">
      <c r="A165" s="317" t="n"/>
      <c r="B165" s="337" t="inlineStr">
        <is>
          <t>USS</t>
        </is>
      </c>
      <c r="C165" s="554" t="n"/>
      <c r="D165" s="554" t="n"/>
      <c r="E165" s="554" t="n"/>
      <c r="F165" s="337" t="n"/>
      <c r="G165" s="337" t="n"/>
      <c r="H165" s="337" t="n"/>
      <c r="I165" s="337" t="n"/>
      <c r="J165" s="337" t="n"/>
      <c r="K165" s="337" t="n"/>
      <c r="L165" s="337" t="n">
        <v>570</v>
      </c>
      <c r="M165" s="317" t="inlineStr">
        <is>
          <t>Niue</t>
        </is>
      </c>
      <c r="N165" s="337" t="inlineStr">
        <is>
          <t>NU</t>
        </is>
      </c>
    </row>
    <row r="166" ht="18" customHeight="1" s="290">
      <c r="A166" s="317" t="n"/>
      <c r="B166" s="337" t="inlineStr">
        <is>
          <t>UYI</t>
        </is>
      </c>
      <c r="C166" s="554" t="n"/>
      <c r="D166" s="554" t="n"/>
      <c r="E166" s="554" t="n"/>
      <c r="F166" s="337" t="n"/>
      <c r="G166" s="337" t="n"/>
      <c r="H166" s="337" t="n"/>
      <c r="I166" s="337" t="n"/>
      <c r="J166" s="337" t="n"/>
      <c r="K166" s="337" t="n"/>
      <c r="L166" s="337" t="n">
        <v>574</v>
      </c>
      <c r="M166" s="317" t="inlineStr">
        <is>
          <t>Norfolk Island</t>
        </is>
      </c>
      <c r="N166" s="337" t="inlineStr">
        <is>
          <t>NF</t>
        </is>
      </c>
    </row>
    <row r="167" ht="18" customHeight="1" s="290">
      <c r="A167" s="317" t="n"/>
      <c r="B167" s="337" t="inlineStr">
        <is>
          <t>UYU</t>
        </is>
      </c>
      <c r="C167" s="554" t="n"/>
      <c r="D167" s="554" t="n"/>
      <c r="E167" s="554" t="n"/>
      <c r="F167" s="337" t="n"/>
      <c r="G167" s="337" t="n"/>
      <c r="H167" s="337" t="n"/>
      <c r="I167" s="337" t="n"/>
      <c r="J167" s="337" t="n"/>
      <c r="K167" s="337" t="n"/>
      <c r="L167" s="337" t="n">
        <v>580</v>
      </c>
      <c r="M167" s="317" t="inlineStr">
        <is>
          <t>Northern Mariana Islands</t>
        </is>
      </c>
      <c r="N167" s="337" t="inlineStr">
        <is>
          <t>MP</t>
        </is>
      </c>
    </row>
    <row r="168" ht="18" customHeight="1" s="290">
      <c r="A168" s="317" t="n"/>
      <c r="B168" s="337" t="inlineStr">
        <is>
          <t>UZS</t>
        </is>
      </c>
      <c r="C168" s="554" t="n"/>
      <c r="D168" s="554" t="n"/>
      <c r="E168" s="554" t="n"/>
      <c r="F168" s="337" t="n"/>
      <c r="G168" s="337" t="n"/>
      <c r="H168" s="337" t="n"/>
      <c r="I168" s="337" t="n"/>
      <c r="J168" s="337" t="n"/>
      <c r="K168" s="337" t="n"/>
      <c r="L168" s="337" t="n">
        <v>578</v>
      </c>
      <c r="M168" s="317" t="inlineStr">
        <is>
          <t>Norway</t>
        </is>
      </c>
      <c r="N168" s="337" t="inlineStr">
        <is>
          <t>NO</t>
        </is>
      </c>
    </row>
    <row r="169" ht="18" customHeight="1" s="290">
      <c r="A169" s="317" t="n"/>
      <c r="B169" s="337" t="inlineStr">
        <is>
          <t>VEF</t>
        </is>
      </c>
      <c r="C169" s="554" t="n"/>
      <c r="D169" s="554" t="n"/>
      <c r="E169" s="554" t="n"/>
      <c r="F169" s="337" t="n"/>
      <c r="G169" s="337" t="n"/>
      <c r="H169" s="337" t="n"/>
      <c r="I169" s="337" t="n"/>
      <c r="J169" s="337" t="n"/>
      <c r="K169" s="337" t="n"/>
      <c r="L169" s="337" t="n">
        <v>512</v>
      </c>
      <c r="M169" s="317" t="inlineStr">
        <is>
          <t>Oman</t>
        </is>
      </c>
      <c r="N169" s="337" t="inlineStr">
        <is>
          <t>OM</t>
        </is>
      </c>
    </row>
    <row r="170" ht="18" customHeight="1" s="290">
      <c r="A170" s="317" t="n"/>
      <c r="B170" s="337" t="inlineStr">
        <is>
          <t>VND</t>
        </is>
      </c>
      <c r="C170" s="554" t="n"/>
      <c r="D170" s="554" t="n"/>
      <c r="E170" s="554" t="n"/>
      <c r="F170" s="337" t="n"/>
      <c r="G170" s="337" t="n"/>
      <c r="H170" s="337" t="n"/>
      <c r="I170" s="337" t="n"/>
      <c r="J170" s="337" t="n"/>
      <c r="K170" s="337" t="n"/>
      <c r="L170" s="337" t="n">
        <v>586</v>
      </c>
      <c r="M170" s="317" t="inlineStr">
        <is>
          <t>Pakistan</t>
        </is>
      </c>
      <c r="N170" s="337" t="inlineStr">
        <is>
          <t>PK</t>
        </is>
      </c>
    </row>
    <row r="171" ht="18" customHeight="1" s="290">
      <c r="A171" s="317" t="n"/>
      <c r="B171" s="337" t="inlineStr">
        <is>
          <t>VUV</t>
        </is>
      </c>
      <c r="C171" s="554" t="n"/>
      <c r="D171" s="554" t="n"/>
      <c r="E171" s="554" t="n"/>
      <c r="F171" s="337" t="n"/>
      <c r="G171" s="337" t="n"/>
      <c r="H171" s="337" t="n"/>
      <c r="I171" s="337" t="n"/>
      <c r="J171" s="337" t="n"/>
      <c r="K171" s="337" t="n"/>
      <c r="L171" s="337" t="n">
        <v>585</v>
      </c>
      <c r="M171" s="317" t="inlineStr">
        <is>
          <t>Palau</t>
        </is>
      </c>
      <c r="N171" s="337" t="inlineStr">
        <is>
          <t>PW</t>
        </is>
      </c>
    </row>
    <row r="172" ht="18" customHeight="1" s="290">
      <c r="A172" s="317" t="n"/>
      <c r="B172" s="337" t="inlineStr">
        <is>
          <t>WST</t>
        </is>
      </c>
      <c r="C172" s="554" t="n"/>
      <c r="D172" s="554" t="n"/>
      <c r="E172" s="554" t="n"/>
      <c r="F172" s="337" t="n"/>
      <c r="G172" s="337" t="n"/>
      <c r="H172" s="337" t="n"/>
      <c r="I172" s="337" t="n"/>
      <c r="J172" s="337" t="n"/>
      <c r="K172" s="337" t="n"/>
      <c r="L172" s="337" t="n">
        <v>275</v>
      </c>
      <c r="M172" s="317" t="inlineStr">
        <is>
          <t>Palestine, State of</t>
        </is>
      </c>
      <c r="N172" s="337" t="inlineStr">
        <is>
          <t>PS</t>
        </is>
      </c>
    </row>
    <row r="173" ht="18" customHeight="1" s="290">
      <c r="A173" s="317" t="n"/>
      <c r="B173" s="337" t="inlineStr">
        <is>
          <t>XAF</t>
        </is>
      </c>
      <c r="C173" s="554" t="n"/>
      <c r="D173" s="554" t="n"/>
      <c r="E173" s="554" t="n"/>
      <c r="F173" s="337" t="n"/>
      <c r="G173" s="337" t="n"/>
      <c r="H173" s="337" t="n"/>
      <c r="I173" s="337" t="n"/>
      <c r="J173" s="337" t="n"/>
      <c r="K173" s="337" t="n"/>
      <c r="L173" s="337" t="n">
        <v>591</v>
      </c>
      <c r="M173" s="317" t="inlineStr">
        <is>
          <t>Panama</t>
        </is>
      </c>
      <c r="N173" s="337" t="inlineStr">
        <is>
          <t>PA</t>
        </is>
      </c>
    </row>
    <row r="174" ht="18" customHeight="1" s="290">
      <c r="A174" s="317" t="n"/>
      <c r="B174" s="337" t="inlineStr">
        <is>
          <t>XAG</t>
        </is>
      </c>
      <c r="C174" s="554" t="n"/>
      <c r="D174" s="554" t="n"/>
      <c r="E174" s="554" t="n"/>
      <c r="F174" s="337" t="n"/>
      <c r="G174" s="337" t="n"/>
      <c r="H174" s="337" t="n"/>
      <c r="I174" s="337" t="n"/>
      <c r="J174" s="337" t="n"/>
      <c r="K174" s="337" t="n"/>
      <c r="L174" s="337" t="n">
        <v>598</v>
      </c>
      <c r="M174" s="317" t="inlineStr">
        <is>
          <t>Papua New Guinea</t>
        </is>
      </c>
      <c r="N174" s="337" t="inlineStr">
        <is>
          <t>PG</t>
        </is>
      </c>
    </row>
    <row r="175" ht="18" customHeight="1" s="290">
      <c r="A175" s="317" t="n"/>
      <c r="B175" s="337" t="inlineStr">
        <is>
          <t>XAU</t>
        </is>
      </c>
      <c r="C175" s="554" t="n"/>
      <c r="D175" s="554" t="n"/>
      <c r="E175" s="554" t="n"/>
      <c r="F175" s="337" t="n"/>
      <c r="G175" s="337" t="n"/>
      <c r="H175" s="337" t="n"/>
      <c r="I175" s="337" t="n"/>
      <c r="J175" s="337" t="n"/>
      <c r="K175" s="337" t="n"/>
      <c r="L175" s="337" t="n">
        <v>600</v>
      </c>
      <c r="M175" s="317" t="inlineStr">
        <is>
          <t>Paraguay</t>
        </is>
      </c>
      <c r="N175" s="337" t="inlineStr">
        <is>
          <t>PY</t>
        </is>
      </c>
    </row>
    <row r="176" ht="18" customHeight="1" s="290">
      <c r="A176" s="317" t="n"/>
      <c r="B176" s="337" t="inlineStr">
        <is>
          <t>XBA</t>
        </is>
      </c>
      <c r="C176" s="554" t="n"/>
      <c r="D176" s="554" t="n"/>
      <c r="E176" s="554" t="n"/>
      <c r="F176" s="337" t="n"/>
      <c r="G176" s="337" t="n"/>
      <c r="H176" s="337" t="n"/>
      <c r="I176" s="337" t="n"/>
      <c r="J176" s="337" t="n"/>
      <c r="K176" s="337" t="n"/>
      <c r="L176" s="337" t="n">
        <v>604</v>
      </c>
      <c r="M176" s="317" t="inlineStr">
        <is>
          <t>Peru</t>
        </is>
      </c>
      <c r="N176" s="337" t="inlineStr">
        <is>
          <t>PE</t>
        </is>
      </c>
    </row>
    <row r="177" ht="18" customHeight="1" s="290">
      <c r="A177" s="317" t="n"/>
      <c r="B177" s="337" t="inlineStr">
        <is>
          <t>XBB</t>
        </is>
      </c>
      <c r="C177" s="554" t="n"/>
      <c r="D177" s="554" t="n"/>
      <c r="E177" s="554" t="n"/>
      <c r="F177" s="337" t="n"/>
      <c r="G177" s="337" t="n"/>
      <c r="H177" s="337" t="n"/>
      <c r="I177" s="337" t="n"/>
      <c r="J177" s="337" t="n"/>
      <c r="K177" s="337" t="n"/>
      <c r="L177" s="337" t="n">
        <v>608</v>
      </c>
      <c r="M177" s="317" t="inlineStr">
        <is>
          <t>Philippines</t>
        </is>
      </c>
      <c r="N177" s="337" t="inlineStr">
        <is>
          <t>PH</t>
        </is>
      </c>
    </row>
    <row r="178" ht="18" customHeight="1" s="290">
      <c r="A178" s="317" t="n"/>
      <c r="B178" s="337" t="inlineStr">
        <is>
          <t>XBC</t>
        </is>
      </c>
      <c r="C178" s="554" t="n"/>
      <c r="D178" s="554" t="n"/>
      <c r="E178" s="554" t="n"/>
      <c r="F178" s="337" t="n"/>
      <c r="G178" s="337" t="n"/>
      <c r="H178" s="337" t="n"/>
      <c r="I178" s="337" t="n"/>
      <c r="J178" s="337" t="n"/>
      <c r="K178" s="337" t="n"/>
      <c r="L178" s="337" t="n">
        <v>612</v>
      </c>
      <c r="M178" s="317" t="inlineStr">
        <is>
          <t>Pitcairn</t>
        </is>
      </c>
      <c r="N178" s="337" t="inlineStr">
        <is>
          <t>PN</t>
        </is>
      </c>
    </row>
    <row r="179" ht="18" customHeight="1" s="290">
      <c r="A179" s="317" t="n"/>
      <c r="B179" s="337" t="inlineStr">
        <is>
          <t>XBD</t>
        </is>
      </c>
      <c r="C179" s="554" t="n"/>
      <c r="D179" s="554" t="n"/>
      <c r="E179" s="554" t="n"/>
      <c r="F179" s="337" t="n"/>
      <c r="G179" s="337" t="n"/>
      <c r="H179" s="337" t="n"/>
      <c r="I179" s="337" t="n"/>
      <c r="J179" s="337" t="n"/>
      <c r="K179" s="337" t="n"/>
      <c r="L179" s="337" t="n">
        <v>616</v>
      </c>
      <c r="M179" s="317" t="inlineStr">
        <is>
          <t>Poland</t>
        </is>
      </c>
      <c r="N179" s="337" t="inlineStr">
        <is>
          <t>PL</t>
        </is>
      </c>
    </row>
    <row r="180" ht="18" customHeight="1" s="290">
      <c r="A180" s="317" t="n"/>
      <c r="B180" s="337" t="inlineStr">
        <is>
          <t>XCD</t>
        </is>
      </c>
      <c r="C180" s="554" t="n"/>
      <c r="D180" s="554" t="n"/>
      <c r="E180" s="554" t="n"/>
      <c r="F180" s="337" t="n"/>
      <c r="G180" s="337" t="n"/>
      <c r="H180" s="337" t="n"/>
      <c r="I180" s="337" t="n"/>
      <c r="J180" s="337" t="n"/>
      <c r="K180" s="337" t="n"/>
      <c r="L180" s="337" t="n">
        <v>620</v>
      </c>
      <c r="M180" s="317" t="inlineStr">
        <is>
          <t>Portugal</t>
        </is>
      </c>
      <c r="N180" s="337" t="inlineStr">
        <is>
          <t>PT</t>
        </is>
      </c>
    </row>
    <row r="181" ht="18" customHeight="1" s="290">
      <c r="A181" s="317" t="n"/>
      <c r="B181" s="337" t="inlineStr">
        <is>
          <t>XDR</t>
        </is>
      </c>
      <c r="C181" s="554" t="n"/>
      <c r="D181" s="554" t="n"/>
      <c r="E181" s="554" t="n"/>
      <c r="F181" s="337" t="n"/>
      <c r="G181" s="337" t="n"/>
      <c r="H181" s="337" t="n"/>
      <c r="I181" s="337" t="n"/>
      <c r="J181" s="337" t="n"/>
      <c r="K181" s="337" t="n"/>
      <c r="L181" s="337" t="n">
        <v>630</v>
      </c>
      <c r="M181" s="317" t="inlineStr">
        <is>
          <t>Puerto Rico</t>
        </is>
      </c>
      <c r="N181" s="337" t="inlineStr">
        <is>
          <t>PR</t>
        </is>
      </c>
    </row>
    <row r="182" ht="18" customHeight="1" s="290">
      <c r="A182" s="317" t="n"/>
      <c r="B182" s="337" t="inlineStr">
        <is>
          <t>XFU</t>
        </is>
      </c>
      <c r="C182" s="554" t="n"/>
      <c r="D182" s="554" t="n"/>
      <c r="E182" s="554" t="n"/>
      <c r="F182" s="337" t="n"/>
      <c r="G182" s="337" t="n"/>
      <c r="H182" s="337" t="n"/>
      <c r="I182" s="337" t="n"/>
      <c r="J182" s="337" t="n"/>
      <c r="K182" s="337" t="n"/>
      <c r="L182" s="337" t="n">
        <v>634</v>
      </c>
      <c r="M182" s="317" t="inlineStr">
        <is>
          <t>Qatar</t>
        </is>
      </c>
      <c r="N182" s="337" t="inlineStr">
        <is>
          <t>QA</t>
        </is>
      </c>
    </row>
    <row r="183" ht="18" customHeight="1" s="290">
      <c r="A183" s="317" t="n"/>
      <c r="B183" s="337" t="inlineStr">
        <is>
          <t>XOF</t>
        </is>
      </c>
      <c r="C183" s="554" t="n"/>
      <c r="D183" s="554" t="n"/>
      <c r="E183" s="554" t="n"/>
      <c r="F183" s="337" t="n"/>
      <c r="G183" s="337" t="n"/>
      <c r="H183" s="337" t="n"/>
      <c r="I183" s="337" t="n"/>
      <c r="J183" s="337" t="n"/>
      <c r="K183" s="337" t="n"/>
      <c r="L183" s="337" t="n">
        <v>638</v>
      </c>
      <c r="M183" s="317" t="inlineStr">
        <is>
          <t>Réunion</t>
        </is>
      </c>
      <c r="N183" s="337" t="inlineStr">
        <is>
          <t>RE</t>
        </is>
      </c>
    </row>
    <row r="184" ht="18" customHeight="1" s="290">
      <c r="A184" s="317" t="n"/>
      <c r="B184" s="337" t="inlineStr">
        <is>
          <t>XPD</t>
        </is>
      </c>
      <c r="C184" s="554" t="n"/>
      <c r="D184" s="554" t="n"/>
      <c r="E184" s="554" t="n"/>
      <c r="F184" s="337" t="n"/>
      <c r="G184" s="337" t="n"/>
      <c r="H184" s="337" t="n"/>
      <c r="I184" s="337" t="n"/>
      <c r="J184" s="337" t="n"/>
      <c r="K184" s="337" t="n"/>
      <c r="L184" s="337" t="n">
        <v>642</v>
      </c>
      <c r="M184" s="317" t="inlineStr">
        <is>
          <t>Romania</t>
        </is>
      </c>
      <c r="N184" s="337" t="inlineStr">
        <is>
          <t>RO</t>
        </is>
      </c>
    </row>
    <row r="185" ht="18" customHeight="1" s="290">
      <c r="A185" s="317" t="n"/>
      <c r="B185" s="337" t="inlineStr">
        <is>
          <t>XPF</t>
        </is>
      </c>
      <c r="C185" s="554" t="n"/>
      <c r="D185" s="554" t="n"/>
      <c r="E185" s="554" t="n"/>
      <c r="F185" s="337" t="n"/>
      <c r="G185" s="337" t="n"/>
      <c r="H185" s="337" t="n"/>
      <c r="I185" s="337" t="n"/>
      <c r="J185" s="337" t="n"/>
      <c r="K185" s="337" t="n"/>
      <c r="L185" s="337" t="n">
        <v>643</v>
      </c>
      <c r="M185" s="317" t="inlineStr">
        <is>
          <t>Russian Federation</t>
        </is>
      </c>
      <c r="N185" s="337" t="inlineStr">
        <is>
          <t>RU</t>
        </is>
      </c>
    </row>
    <row r="186" ht="18" customHeight="1" s="290">
      <c r="A186" s="317" t="n"/>
      <c r="B186" s="337" t="inlineStr">
        <is>
          <t>XPT</t>
        </is>
      </c>
      <c r="C186" s="554" t="n"/>
      <c r="D186" s="554" t="n"/>
      <c r="E186" s="554" t="n"/>
      <c r="F186" s="337" t="n"/>
      <c r="G186" s="337" t="n"/>
      <c r="H186" s="337" t="n"/>
      <c r="I186" s="337" t="n"/>
      <c r="J186" s="337" t="n"/>
      <c r="K186" s="337" t="n"/>
      <c r="L186" s="337" t="n">
        <v>646</v>
      </c>
      <c r="M186" s="317" t="inlineStr">
        <is>
          <t>Rwanda</t>
        </is>
      </c>
      <c r="N186" s="337" t="inlineStr">
        <is>
          <t>RW</t>
        </is>
      </c>
    </row>
    <row r="187" ht="18" customHeight="1" s="290">
      <c r="A187" s="317" t="n"/>
      <c r="B187" s="337" t="inlineStr">
        <is>
          <t>XTS</t>
        </is>
      </c>
      <c r="C187" s="554" t="n"/>
      <c r="D187" s="554" t="n"/>
      <c r="E187" s="554" t="n"/>
      <c r="F187" s="337" t="n"/>
      <c r="G187" s="337" t="n"/>
      <c r="H187" s="337" t="n"/>
      <c r="I187" s="337" t="n"/>
      <c r="J187" s="337" t="n"/>
      <c r="K187" s="337" t="n"/>
      <c r="L187" s="337" t="n">
        <v>652</v>
      </c>
      <c r="M187" s="317" t="inlineStr">
        <is>
          <t>Saint Barthélemy</t>
        </is>
      </c>
      <c r="N187" s="337" t="inlineStr">
        <is>
          <t>BL</t>
        </is>
      </c>
    </row>
    <row r="188" ht="18" customHeight="1" s="290">
      <c r="A188" s="317" t="n"/>
      <c r="B188" s="337" t="inlineStr">
        <is>
          <t>XXX</t>
        </is>
      </c>
      <c r="C188" s="554" t="n"/>
      <c r="D188" s="554" t="n"/>
      <c r="E188" s="554" t="n"/>
      <c r="F188" s="337" t="n"/>
      <c r="G188" s="337" t="n"/>
      <c r="H188" s="337" t="n"/>
      <c r="I188" s="337" t="n"/>
      <c r="J188" s="337" t="n"/>
      <c r="K188" s="337" t="n"/>
      <c r="L188" s="337" t="n">
        <v>654</v>
      </c>
      <c r="M188" s="317" t="inlineStr">
        <is>
          <t>Saint Helena, Ascension and Tristan da Cunha</t>
        </is>
      </c>
      <c r="N188" s="337" t="inlineStr">
        <is>
          <t>SH</t>
        </is>
      </c>
    </row>
    <row r="189" ht="18" customHeight="1" s="290">
      <c r="A189" s="317" t="n"/>
      <c r="B189" s="337" t="inlineStr">
        <is>
          <t>YER</t>
        </is>
      </c>
      <c r="C189" s="554" t="n"/>
      <c r="D189" s="554" t="n"/>
      <c r="E189" s="554" t="n"/>
      <c r="F189" s="337" t="n"/>
      <c r="G189" s="337" t="n"/>
      <c r="H189" s="337" t="n"/>
      <c r="I189" s="337" t="n"/>
      <c r="J189" s="337" t="n"/>
      <c r="K189" s="337" t="n"/>
      <c r="L189" s="337" t="n">
        <v>659</v>
      </c>
      <c r="M189" s="317" t="inlineStr">
        <is>
          <t>Saint Kitts and Nevis</t>
        </is>
      </c>
      <c r="N189" s="337" t="inlineStr">
        <is>
          <t>KN</t>
        </is>
      </c>
    </row>
    <row r="190" ht="18" customHeight="1" s="290">
      <c r="A190" s="317" t="n"/>
      <c r="B190" s="337" t="inlineStr">
        <is>
          <t>ZAR</t>
        </is>
      </c>
      <c r="C190" s="554" t="n"/>
      <c r="D190" s="554" t="n"/>
      <c r="E190" s="554" t="n"/>
      <c r="F190" s="337" t="n"/>
      <c r="G190" s="337" t="n"/>
      <c r="H190" s="337" t="n"/>
      <c r="I190" s="337" t="n"/>
      <c r="J190" s="337" t="n"/>
      <c r="K190" s="337" t="n"/>
      <c r="L190" s="337" t="n">
        <v>662</v>
      </c>
      <c r="M190" s="317" t="inlineStr">
        <is>
          <t>Saint Lucia</t>
        </is>
      </c>
      <c r="N190" s="337" t="inlineStr">
        <is>
          <t>LC</t>
        </is>
      </c>
    </row>
    <row r="191" ht="18" customHeight="1" s="290">
      <c r="A191" s="317" t="n"/>
      <c r="B191" s="337" t="inlineStr">
        <is>
          <t>ZMK</t>
        </is>
      </c>
      <c r="C191" s="554" t="n"/>
      <c r="D191" s="554" t="n"/>
      <c r="E191" s="554" t="n"/>
      <c r="F191" s="337" t="n"/>
      <c r="G191" s="337" t="n"/>
      <c r="H191" s="337" t="n"/>
      <c r="I191" s="337" t="n"/>
      <c r="J191" s="337" t="n"/>
      <c r="K191" s="337" t="n"/>
      <c r="L191" s="337" t="n">
        <v>663</v>
      </c>
      <c r="M191" s="317" t="inlineStr">
        <is>
          <t>Saint Martin (French part)</t>
        </is>
      </c>
      <c r="N191" s="337" t="inlineStr">
        <is>
          <t>MF</t>
        </is>
      </c>
    </row>
    <row r="192" ht="18" customHeight="1" s="290">
      <c r="A192" s="317" t="n"/>
      <c r="B192" s="337" t="inlineStr">
        <is>
          <t>ZWL</t>
        </is>
      </c>
      <c r="C192" s="554" t="n"/>
      <c r="D192" s="554" t="n"/>
      <c r="E192" s="554" t="n"/>
      <c r="F192" s="337" t="n"/>
      <c r="G192" s="337" t="n"/>
      <c r="H192" s="337" t="n"/>
      <c r="I192" s="337" t="n"/>
      <c r="J192" s="337" t="n"/>
      <c r="K192" s="337" t="n"/>
      <c r="L192" s="337" t="n">
        <v>666</v>
      </c>
      <c r="M192" s="317" t="inlineStr">
        <is>
          <t>Saint Pierre and Miquelon</t>
        </is>
      </c>
      <c r="N192" s="337" t="inlineStr">
        <is>
          <t>PM</t>
        </is>
      </c>
    </row>
    <row r="193" ht="18" customHeight="1" s="290">
      <c r="A193" s="317" t="n"/>
      <c r="B193" s="337" t="n"/>
      <c r="C193" s="554" t="n"/>
      <c r="D193" s="554" t="n"/>
      <c r="E193" s="554" t="n"/>
      <c r="F193" s="337" t="n"/>
      <c r="G193" s="337" t="n"/>
      <c r="H193" s="337" t="n"/>
      <c r="I193" s="337" t="n"/>
      <c r="J193" s="337" t="n"/>
      <c r="K193" s="337" t="n"/>
      <c r="L193" s="337" t="n">
        <v>670</v>
      </c>
      <c r="M193" s="317" t="inlineStr">
        <is>
          <t>Saint Vincent and the Grenadines</t>
        </is>
      </c>
      <c r="N193" s="337" t="inlineStr">
        <is>
          <t>VC</t>
        </is>
      </c>
    </row>
    <row r="194" ht="18" customHeight="1" s="290">
      <c r="A194" s="317" t="n"/>
      <c r="B194" s="337" t="n"/>
      <c r="C194" s="554" t="n"/>
      <c r="D194" s="554" t="n"/>
      <c r="E194" s="554" t="n"/>
      <c r="F194" s="337" t="n"/>
      <c r="G194" s="337" t="n"/>
      <c r="H194" s="337" t="n"/>
      <c r="I194" s="337" t="n"/>
      <c r="J194" s="337" t="n"/>
      <c r="K194" s="337" t="n"/>
      <c r="L194" s="337" t="n">
        <v>882</v>
      </c>
      <c r="M194" s="317" t="inlineStr">
        <is>
          <t>Samoa</t>
        </is>
      </c>
      <c r="N194" s="337" t="inlineStr">
        <is>
          <t>WS</t>
        </is>
      </c>
    </row>
    <row r="195" ht="18" customHeight="1" s="290">
      <c r="A195" s="317" t="n"/>
      <c r="B195" s="337" t="n"/>
      <c r="C195" s="554" t="n"/>
      <c r="D195" s="554" t="n"/>
      <c r="E195" s="554" t="n"/>
      <c r="F195" s="337" t="n"/>
      <c r="G195" s="337" t="n"/>
      <c r="H195" s="337" t="n"/>
      <c r="I195" s="337" t="n"/>
      <c r="J195" s="337" t="n"/>
      <c r="K195" s="337" t="n"/>
      <c r="L195" s="337" t="n">
        <v>674</v>
      </c>
      <c r="M195" s="317" t="inlineStr">
        <is>
          <t>San Marino</t>
        </is>
      </c>
      <c r="N195" s="337" t="inlineStr">
        <is>
          <t>SM</t>
        </is>
      </c>
    </row>
    <row r="196" ht="18" customHeight="1" s="290">
      <c r="A196" s="317" t="n"/>
      <c r="B196" s="337" t="n"/>
      <c r="C196" s="554" t="n"/>
      <c r="D196" s="554" t="n"/>
      <c r="E196" s="554" t="n"/>
      <c r="F196" s="337" t="n"/>
      <c r="G196" s="337" t="n"/>
      <c r="H196" s="337" t="n"/>
      <c r="I196" s="337" t="n"/>
      <c r="J196" s="337" t="n"/>
      <c r="K196" s="337" t="n"/>
      <c r="L196" s="337" t="n">
        <v>678</v>
      </c>
      <c r="M196" s="317" t="inlineStr">
        <is>
          <t>Sao Tome and Principe</t>
        </is>
      </c>
      <c r="N196" s="337" t="inlineStr">
        <is>
          <t>ST</t>
        </is>
      </c>
    </row>
    <row r="197" ht="18" customHeight="1" s="290">
      <c r="A197" s="317" t="n"/>
      <c r="B197" s="337" t="n"/>
      <c r="C197" s="554" t="n"/>
      <c r="D197" s="554" t="n"/>
      <c r="E197" s="554" t="n"/>
      <c r="F197" s="337" t="n"/>
      <c r="G197" s="337" t="n"/>
      <c r="H197" s="337" t="n"/>
      <c r="I197" s="337" t="n"/>
      <c r="J197" s="337" t="n"/>
      <c r="K197" s="337" t="n"/>
      <c r="L197" s="337" t="n">
        <v>682</v>
      </c>
      <c r="M197" s="317" t="inlineStr">
        <is>
          <t>Saudi Arabia</t>
        </is>
      </c>
      <c r="N197" s="337" t="inlineStr">
        <is>
          <t>SA</t>
        </is>
      </c>
    </row>
    <row r="198" ht="18" customHeight="1" s="290">
      <c r="A198" s="317" t="n"/>
      <c r="B198" s="337" t="n"/>
      <c r="C198" s="554" t="n"/>
      <c r="D198" s="554" t="n"/>
      <c r="E198" s="554" t="n"/>
      <c r="F198" s="337" t="n"/>
      <c r="G198" s="337" t="n"/>
      <c r="H198" s="337" t="n"/>
      <c r="I198" s="337" t="n"/>
      <c r="J198" s="337" t="n"/>
      <c r="K198" s="337" t="n"/>
      <c r="L198" s="337" t="n">
        <v>686</v>
      </c>
      <c r="M198" s="317" t="inlineStr">
        <is>
          <t>Senegal</t>
        </is>
      </c>
      <c r="N198" s="337" t="inlineStr">
        <is>
          <t>SN</t>
        </is>
      </c>
    </row>
    <row r="199" ht="18" customHeight="1" s="290">
      <c r="A199" s="317" t="n"/>
      <c r="B199" s="337" t="n"/>
      <c r="C199" s="554" t="n"/>
      <c r="D199" s="554" t="n"/>
      <c r="E199" s="554" t="n"/>
      <c r="F199" s="337" t="n"/>
      <c r="G199" s="337" t="n"/>
      <c r="H199" s="337" t="n"/>
      <c r="I199" s="337" t="n"/>
      <c r="J199" s="337" t="n"/>
      <c r="K199" s="337" t="n"/>
      <c r="L199" s="337" t="n">
        <v>688</v>
      </c>
      <c r="M199" s="317" t="inlineStr">
        <is>
          <t>Serbia</t>
        </is>
      </c>
      <c r="N199" s="337" t="inlineStr">
        <is>
          <t>RS</t>
        </is>
      </c>
    </row>
    <row r="200" ht="18" customHeight="1" s="290">
      <c r="A200" s="317" t="n"/>
      <c r="B200" s="337" t="n"/>
      <c r="C200" s="554" t="n"/>
      <c r="D200" s="554" t="n"/>
      <c r="E200" s="554" t="n"/>
      <c r="F200" s="337" t="n"/>
      <c r="G200" s="337" t="n"/>
      <c r="H200" s="337" t="n"/>
      <c r="I200" s="337" t="n"/>
      <c r="J200" s="337" t="n"/>
      <c r="K200" s="337" t="n"/>
      <c r="L200" s="337" t="n">
        <v>690</v>
      </c>
      <c r="M200" s="317" t="inlineStr">
        <is>
          <t>Seychelles</t>
        </is>
      </c>
      <c r="N200" s="337" t="inlineStr">
        <is>
          <t>SC</t>
        </is>
      </c>
    </row>
    <row r="201" ht="18" customHeight="1" s="290">
      <c r="A201" s="317" t="n"/>
      <c r="B201" s="337" t="n"/>
      <c r="C201" s="554" t="n"/>
      <c r="D201" s="554" t="n"/>
      <c r="E201" s="554" t="n"/>
      <c r="F201" s="337" t="n"/>
      <c r="G201" s="337" t="n"/>
      <c r="H201" s="337" t="n"/>
      <c r="I201" s="337" t="n"/>
      <c r="J201" s="337" t="n"/>
      <c r="K201" s="337" t="n"/>
      <c r="L201" s="337" t="n">
        <v>694</v>
      </c>
      <c r="M201" s="317" t="inlineStr">
        <is>
          <t>Sierra Leone</t>
        </is>
      </c>
      <c r="N201" s="337" t="inlineStr">
        <is>
          <t>SL</t>
        </is>
      </c>
    </row>
    <row r="202" ht="18" customHeight="1" s="290">
      <c r="A202" s="317" t="n"/>
      <c r="B202" s="337" t="n"/>
      <c r="C202" s="554" t="n"/>
      <c r="D202" s="554" t="n"/>
      <c r="E202" s="554" t="n"/>
      <c r="F202" s="337" t="n"/>
      <c r="G202" s="337" t="n"/>
      <c r="H202" s="337" t="n"/>
      <c r="I202" s="337" t="n"/>
      <c r="J202" s="337" t="n"/>
      <c r="K202" s="337" t="n"/>
      <c r="L202" s="337" t="n">
        <v>702</v>
      </c>
      <c r="M202" s="317" t="inlineStr">
        <is>
          <t>Singapore</t>
        </is>
      </c>
      <c r="N202" s="337" t="inlineStr">
        <is>
          <t>SG</t>
        </is>
      </c>
    </row>
    <row r="203" ht="18" customHeight="1" s="290">
      <c r="A203" s="317" t="n"/>
      <c r="B203" s="337" t="n"/>
      <c r="C203" s="554" t="n"/>
      <c r="D203" s="554" t="n"/>
      <c r="E203" s="554" t="n"/>
      <c r="F203" s="337" t="n"/>
      <c r="G203" s="337" t="n"/>
      <c r="H203" s="337" t="n"/>
      <c r="I203" s="337" t="n"/>
      <c r="J203" s="337" t="n"/>
      <c r="K203" s="337" t="n"/>
      <c r="L203" s="337" t="n">
        <v>534</v>
      </c>
      <c r="M203" s="317" t="inlineStr">
        <is>
          <t>Sint Maarten (Dutch part)</t>
        </is>
      </c>
      <c r="N203" s="337" t="inlineStr">
        <is>
          <t>SX</t>
        </is>
      </c>
    </row>
    <row r="204" ht="18" customHeight="1" s="290">
      <c r="A204" s="317" t="n"/>
      <c r="B204" s="337" t="n"/>
      <c r="C204" s="554" t="n"/>
      <c r="D204" s="554" t="n"/>
      <c r="E204" s="554" t="n"/>
      <c r="F204" s="337" t="n"/>
      <c r="G204" s="337" t="n"/>
      <c r="H204" s="337" t="n"/>
      <c r="I204" s="337" t="n"/>
      <c r="J204" s="337" t="n"/>
      <c r="K204" s="337" t="n"/>
      <c r="L204" s="337" t="n">
        <v>703</v>
      </c>
      <c r="M204" s="317" t="inlineStr">
        <is>
          <t>Slovakia</t>
        </is>
      </c>
      <c r="N204" s="337" t="inlineStr">
        <is>
          <t>SK</t>
        </is>
      </c>
    </row>
    <row r="205" ht="18" customHeight="1" s="290">
      <c r="A205" s="317" t="n"/>
      <c r="B205" s="337" t="n"/>
      <c r="C205" s="554" t="n"/>
      <c r="D205" s="554" t="n"/>
      <c r="E205" s="554" t="n"/>
      <c r="F205" s="337" t="n"/>
      <c r="G205" s="337" t="n"/>
      <c r="H205" s="337" t="n"/>
      <c r="I205" s="337" t="n"/>
      <c r="J205" s="337" t="n"/>
      <c r="K205" s="337" t="n"/>
      <c r="L205" s="337" t="n">
        <v>705</v>
      </c>
      <c r="M205" s="317" t="inlineStr">
        <is>
          <t>Slovenia</t>
        </is>
      </c>
      <c r="N205" s="337" t="inlineStr">
        <is>
          <t>SI</t>
        </is>
      </c>
    </row>
    <row r="206" ht="18" customHeight="1" s="290">
      <c r="A206" s="317" t="n"/>
      <c r="B206" s="337" t="n"/>
      <c r="C206" s="554" t="n"/>
      <c r="D206" s="554" t="n"/>
      <c r="E206" s="554" t="n"/>
      <c r="F206" s="337" t="n"/>
      <c r="G206" s="337" t="n"/>
      <c r="H206" s="337" t="n"/>
      <c r="I206" s="337" t="n"/>
      <c r="J206" s="337" t="n"/>
      <c r="K206" s="337" t="n"/>
      <c r="L206" s="337" t="n">
        <v>90</v>
      </c>
      <c r="M206" s="317" t="inlineStr">
        <is>
          <t>Solomon Islands</t>
        </is>
      </c>
      <c r="N206" s="337" t="inlineStr">
        <is>
          <t>SB</t>
        </is>
      </c>
    </row>
    <row r="207" ht="18" customHeight="1" s="290">
      <c r="A207" s="317" t="n"/>
      <c r="B207" s="337" t="n"/>
      <c r="C207" s="554" t="n"/>
      <c r="D207" s="554" t="n"/>
      <c r="E207" s="554" t="n"/>
      <c r="F207" s="337" t="n"/>
      <c r="G207" s="337" t="n"/>
      <c r="H207" s="337" t="n"/>
      <c r="I207" s="337" t="n"/>
      <c r="J207" s="337" t="n"/>
      <c r="K207" s="337" t="n"/>
      <c r="L207" s="337" t="n">
        <v>706</v>
      </c>
      <c r="M207" s="317" t="inlineStr">
        <is>
          <t>Somalia</t>
        </is>
      </c>
      <c r="N207" s="337" t="inlineStr">
        <is>
          <t>SO</t>
        </is>
      </c>
    </row>
    <row r="208" ht="18" customHeight="1" s="290">
      <c r="A208" s="317" t="n"/>
      <c r="B208" s="337" t="n"/>
      <c r="C208" s="554" t="n"/>
      <c r="D208" s="554" t="n"/>
      <c r="E208" s="554" t="n"/>
      <c r="F208" s="337" t="n"/>
      <c r="G208" s="337" t="n"/>
      <c r="H208" s="337" t="n"/>
      <c r="I208" s="337" t="n"/>
      <c r="J208" s="337" t="n"/>
      <c r="K208" s="337" t="n"/>
      <c r="L208" s="337" t="n">
        <v>710</v>
      </c>
      <c r="M208" s="317" t="inlineStr">
        <is>
          <t>South Africa</t>
        </is>
      </c>
      <c r="N208" s="337" t="inlineStr">
        <is>
          <t>ZA</t>
        </is>
      </c>
    </row>
    <row r="209" ht="18" customHeight="1" s="290">
      <c r="A209" s="317" t="n"/>
      <c r="B209" s="337" t="n"/>
      <c r="C209" s="554" t="n"/>
      <c r="D209" s="554" t="n"/>
      <c r="E209" s="554" t="n"/>
      <c r="F209" s="337" t="n"/>
      <c r="G209" s="337" t="n"/>
      <c r="H209" s="337" t="n"/>
      <c r="I209" s="337" t="n"/>
      <c r="J209" s="337" t="n"/>
      <c r="K209" s="337" t="n"/>
      <c r="L209" s="337" t="n">
        <v>239</v>
      </c>
      <c r="M209" s="317" t="inlineStr">
        <is>
          <t>South Georgia and the South Sandwich Islands</t>
        </is>
      </c>
      <c r="N209" s="337" t="inlineStr">
        <is>
          <t>GS</t>
        </is>
      </c>
    </row>
    <row r="210" ht="18" customHeight="1" s="290">
      <c r="A210" s="317" t="n"/>
      <c r="B210" s="337" t="n"/>
      <c r="C210" s="554" t="n"/>
      <c r="D210" s="554" t="n"/>
      <c r="E210" s="554" t="n"/>
      <c r="F210" s="337" t="n"/>
      <c r="G210" s="337" t="n"/>
      <c r="H210" s="337" t="n"/>
      <c r="I210" s="337" t="n"/>
      <c r="J210" s="337" t="n"/>
      <c r="K210" s="337" t="n"/>
      <c r="L210" s="337" t="n">
        <v>728</v>
      </c>
      <c r="M210" s="317" t="inlineStr">
        <is>
          <t>South Sudan</t>
        </is>
      </c>
      <c r="N210" s="337" t="inlineStr">
        <is>
          <t>SS</t>
        </is>
      </c>
    </row>
    <row r="211" ht="18" customHeight="1" s="290">
      <c r="A211" s="317" t="n"/>
      <c r="B211" s="337" t="n"/>
      <c r="C211" s="554" t="n"/>
      <c r="D211" s="554" t="n"/>
      <c r="E211" s="554" t="n"/>
      <c r="F211" s="337" t="n"/>
      <c r="G211" s="337" t="n"/>
      <c r="H211" s="337" t="n"/>
      <c r="I211" s="337" t="n"/>
      <c r="J211" s="337" t="n"/>
      <c r="K211" s="337" t="n"/>
      <c r="L211" s="337" t="n">
        <v>724</v>
      </c>
      <c r="M211" s="317" t="inlineStr">
        <is>
          <t>Spain</t>
        </is>
      </c>
      <c r="N211" s="337" t="inlineStr">
        <is>
          <t>ES</t>
        </is>
      </c>
    </row>
    <row r="212" ht="18" customHeight="1" s="290">
      <c r="A212" s="317" t="n"/>
      <c r="B212" s="337" t="n"/>
      <c r="C212" s="554" t="n"/>
      <c r="D212" s="554" t="n"/>
      <c r="E212" s="554" t="n"/>
      <c r="F212" s="337" t="n"/>
      <c r="G212" s="337" t="n"/>
      <c r="H212" s="337" t="n"/>
      <c r="I212" s="337" t="n"/>
      <c r="J212" s="337" t="n"/>
      <c r="K212" s="337" t="n"/>
      <c r="L212" s="337" t="n">
        <v>144</v>
      </c>
      <c r="M212" s="317" t="inlineStr">
        <is>
          <t>Sri Lanka</t>
        </is>
      </c>
      <c r="N212" s="337" t="inlineStr">
        <is>
          <t>LK</t>
        </is>
      </c>
    </row>
    <row r="213" ht="18" customHeight="1" s="290">
      <c r="A213" s="317" t="n"/>
      <c r="B213" s="337" t="n"/>
      <c r="C213" s="554" t="n"/>
      <c r="D213" s="554" t="n"/>
      <c r="E213" s="554" t="n"/>
      <c r="F213" s="337" t="n"/>
      <c r="G213" s="337" t="n"/>
      <c r="H213" s="337" t="n"/>
      <c r="I213" s="337" t="n"/>
      <c r="J213" s="337" t="n"/>
      <c r="K213" s="337" t="n"/>
      <c r="L213" s="337" t="n">
        <v>729</v>
      </c>
      <c r="M213" s="317" t="inlineStr">
        <is>
          <t>Sudan</t>
        </is>
      </c>
      <c r="N213" s="337" t="inlineStr">
        <is>
          <t>SD</t>
        </is>
      </c>
    </row>
    <row r="214" ht="18" customHeight="1" s="290">
      <c r="A214" s="317" t="n"/>
      <c r="B214" s="337" t="n"/>
      <c r="C214" s="554" t="n"/>
      <c r="D214" s="554" t="n"/>
      <c r="E214" s="554" t="n"/>
      <c r="F214" s="337" t="n"/>
      <c r="G214" s="337" t="n"/>
      <c r="H214" s="337" t="n"/>
      <c r="I214" s="337" t="n"/>
      <c r="J214" s="337" t="n"/>
      <c r="K214" s="337" t="n"/>
      <c r="L214" s="337" t="n">
        <v>740</v>
      </c>
      <c r="M214" s="317" t="inlineStr">
        <is>
          <t>Suriname</t>
        </is>
      </c>
      <c r="N214" s="337" t="inlineStr">
        <is>
          <t>SR</t>
        </is>
      </c>
    </row>
    <row r="215" ht="18" customHeight="1" s="290">
      <c r="A215" s="317" t="n"/>
      <c r="B215" s="337" t="n"/>
      <c r="C215" s="554" t="n"/>
      <c r="D215" s="554" t="n"/>
      <c r="E215" s="554" t="n"/>
      <c r="F215" s="337" t="n"/>
      <c r="G215" s="337" t="n"/>
      <c r="H215" s="337" t="n"/>
      <c r="I215" s="337" t="n"/>
      <c r="J215" s="337" t="n"/>
      <c r="K215" s="337" t="n"/>
      <c r="L215" s="337" t="n">
        <v>744</v>
      </c>
      <c r="M215" s="317" t="inlineStr">
        <is>
          <t>Svalbard and Jan Mayen</t>
        </is>
      </c>
      <c r="N215" s="337" t="inlineStr">
        <is>
          <t>SJ</t>
        </is>
      </c>
    </row>
    <row r="216" ht="18" customHeight="1" s="290">
      <c r="A216" s="317" t="n"/>
      <c r="B216" s="337" t="n"/>
      <c r="C216" s="554" t="n"/>
      <c r="D216" s="554" t="n"/>
      <c r="E216" s="554" t="n"/>
      <c r="F216" s="337" t="n"/>
      <c r="G216" s="337" t="n"/>
      <c r="H216" s="337" t="n"/>
      <c r="I216" s="337" t="n"/>
      <c r="J216" s="337" t="n"/>
      <c r="K216" s="337" t="n"/>
      <c r="L216" s="337" t="n">
        <v>748</v>
      </c>
      <c r="M216" s="317" t="inlineStr">
        <is>
          <t>Swaziland</t>
        </is>
      </c>
      <c r="N216" s="337" t="inlineStr">
        <is>
          <t>SZ</t>
        </is>
      </c>
    </row>
    <row r="217" ht="18" customHeight="1" s="290">
      <c r="A217" s="317" t="n"/>
      <c r="B217" s="337" t="n"/>
      <c r="C217" s="554" t="n"/>
      <c r="D217" s="554" t="n"/>
      <c r="E217" s="554" t="n"/>
      <c r="F217" s="337" t="n"/>
      <c r="G217" s="337" t="n"/>
      <c r="H217" s="337" t="n"/>
      <c r="I217" s="337" t="n"/>
      <c r="J217" s="337" t="n"/>
      <c r="K217" s="337" t="n"/>
      <c r="L217" s="337" t="n">
        <v>752</v>
      </c>
      <c r="M217" s="317" t="inlineStr">
        <is>
          <t>Sweden</t>
        </is>
      </c>
      <c r="N217" s="337" t="inlineStr">
        <is>
          <t>SE</t>
        </is>
      </c>
    </row>
    <row r="218" ht="18" customHeight="1" s="290">
      <c r="A218" s="317" t="n"/>
      <c r="B218" s="337" t="n"/>
      <c r="C218" s="554" t="n"/>
      <c r="D218" s="554" t="n"/>
      <c r="E218" s="554" t="n"/>
      <c r="F218" s="337" t="n"/>
      <c r="G218" s="337" t="n"/>
      <c r="H218" s="337" t="n"/>
      <c r="I218" s="337" t="n"/>
      <c r="J218" s="337" t="n"/>
      <c r="K218" s="337" t="n"/>
      <c r="L218" s="337" t="n">
        <v>756</v>
      </c>
      <c r="M218" s="317" t="inlineStr">
        <is>
          <t>Switzerland</t>
        </is>
      </c>
      <c r="N218" s="337" t="inlineStr">
        <is>
          <t>CH</t>
        </is>
      </c>
    </row>
    <row r="219" ht="18" customHeight="1" s="290">
      <c r="A219" s="317" t="n"/>
      <c r="B219" s="337" t="n"/>
      <c r="C219" s="554" t="n"/>
      <c r="D219" s="554" t="n"/>
      <c r="E219" s="554" t="n"/>
      <c r="F219" s="337" t="n"/>
      <c r="G219" s="337" t="n"/>
      <c r="H219" s="337" t="n"/>
      <c r="I219" s="337" t="n"/>
      <c r="J219" s="337" t="n"/>
      <c r="K219" s="337" t="n"/>
      <c r="L219" s="337" t="n">
        <v>760</v>
      </c>
      <c r="M219" s="317" t="inlineStr">
        <is>
          <t>Syrian Arab Republic</t>
        </is>
      </c>
      <c r="N219" s="337" t="inlineStr">
        <is>
          <t>SY</t>
        </is>
      </c>
    </row>
    <row r="220" ht="18" customHeight="1" s="290">
      <c r="A220" s="317" t="n"/>
      <c r="B220" s="337" t="n"/>
      <c r="C220" s="554" t="n"/>
      <c r="D220" s="554" t="n"/>
      <c r="E220" s="554" t="n"/>
      <c r="F220" s="337" t="n"/>
      <c r="G220" s="337" t="n"/>
      <c r="H220" s="337" t="n"/>
      <c r="I220" s="337" t="n"/>
      <c r="J220" s="337" t="n"/>
      <c r="K220" s="337" t="n"/>
      <c r="L220" s="337" t="n">
        <v>158</v>
      </c>
      <c r="M220" s="317" t="inlineStr">
        <is>
          <t>Taiwan, Province of China</t>
        </is>
      </c>
      <c r="N220" s="337" t="inlineStr">
        <is>
          <t>TW</t>
        </is>
      </c>
    </row>
    <row r="221" ht="18" customHeight="1" s="290">
      <c r="A221" s="317" t="n"/>
      <c r="B221" s="337" t="n"/>
      <c r="C221" s="554" t="n"/>
      <c r="D221" s="554" t="n"/>
      <c r="E221" s="554" t="n"/>
      <c r="F221" s="337" t="n"/>
      <c r="G221" s="337" t="n"/>
      <c r="H221" s="337" t="n"/>
      <c r="I221" s="337" t="n"/>
      <c r="J221" s="337" t="n"/>
      <c r="K221" s="337" t="n"/>
      <c r="L221" s="337" t="n">
        <v>762</v>
      </c>
      <c r="M221" s="317" t="inlineStr">
        <is>
          <t>Tajikistan</t>
        </is>
      </c>
      <c r="N221" s="337" t="inlineStr">
        <is>
          <t>TJ</t>
        </is>
      </c>
    </row>
    <row r="222" ht="18" customHeight="1" s="290">
      <c r="A222" s="317" t="n"/>
      <c r="B222" s="337" t="n"/>
      <c r="C222" s="554" t="n"/>
      <c r="D222" s="554" t="n"/>
      <c r="E222" s="554" t="n"/>
      <c r="F222" s="337" t="n"/>
      <c r="G222" s="337" t="n"/>
      <c r="H222" s="337" t="n"/>
      <c r="I222" s="337" t="n"/>
      <c r="J222" s="337" t="n"/>
      <c r="K222" s="337" t="n"/>
      <c r="L222" s="337" t="n">
        <v>834</v>
      </c>
      <c r="M222" s="317" t="inlineStr">
        <is>
          <t>Tanzania, United Republic of</t>
        </is>
      </c>
      <c r="N222" s="337" t="inlineStr">
        <is>
          <t>TZ</t>
        </is>
      </c>
    </row>
    <row r="223" ht="18" customHeight="1" s="290">
      <c r="A223" s="317" t="n"/>
      <c r="B223" s="337" t="n"/>
      <c r="C223" s="554" t="n"/>
      <c r="D223" s="554" t="n"/>
      <c r="E223" s="554" t="n"/>
      <c r="F223" s="337" t="n"/>
      <c r="G223" s="337" t="n"/>
      <c r="H223" s="337" t="n"/>
      <c r="I223" s="337" t="n"/>
      <c r="J223" s="337" t="n"/>
      <c r="K223" s="337" t="n"/>
      <c r="L223" s="337" t="n">
        <v>764</v>
      </c>
      <c r="M223" s="317" t="inlineStr">
        <is>
          <t>Thailand</t>
        </is>
      </c>
      <c r="N223" s="337" t="inlineStr">
        <is>
          <t>TH</t>
        </is>
      </c>
    </row>
    <row r="224" ht="18" customHeight="1" s="290">
      <c r="A224" s="317" t="n"/>
      <c r="B224" s="337" t="n"/>
      <c r="C224" s="554" t="n"/>
      <c r="D224" s="554" t="n"/>
      <c r="E224" s="554" t="n"/>
      <c r="F224" s="337" t="n"/>
      <c r="G224" s="337" t="n"/>
      <c r="H224" s="337" t="n"/>
      <c r="I224" s="337" t="n"/>
      <c r="J224" s="337" t="n"/>
      <c r="K224" s="337" t="n"/>
      <c r="L224" s="337" t="n">
        <v>626</v>
      </c>
      <c r="M224" s="317" t="inlineStr">
        <is>
          <t>Timor-Leste</t>
        </is>
      </c>
      <c r="N224" s="337" t="inlineStr">
        <is>
          <t>TL</t>
        </is>
      </c>
    </row>
    <row r="225" ht="18" customHeight="1" s="290">
      <c r="A225" s="317" t="n"/>
      <c r="B225" s="337" t="n"/>
      <c r="C225" s="554" t="n"/>
      <c r="D225" s="554" t="n"/>
      <c r="E225" s="554" t="n"/>
      <c r="F225" s="337" t="n"/>
      <c r="G225" s="337" t="n"/>
      <c r="H225" s="337" t="n"/>
      <c r="I225" s="337" t="n"/>
      <c r="J225" s="337" t="n"/>
      <c r="K225" s="337" t="n"/>
      <c r="L225" s="337" t="n">
        <v>768</v>
      </c>
      <c r="M225" s="317" t="inlineStr">
        <is>
          <t>Togo</t>
        </is>
      </c>
      <c r="N225" s="337" t="inlineStr">
        <is>
          <t>TG</t>
        </is>
      </c>
    </row>
    <row r="226" ht="18" customHeight="1" s="290">
      <c r="A226" s="317" t="n"/>
      <c r="B226" s="337" t="n"/>
      <c r="C226" s="554" t="n"/>
      <c r="D226" s="554" t="n"/>
      <c r="E226" s="554" t="n"/>
      <c r="F226" s="337" t="n"/>
      <c r="G226" s="337" t="n"/>
      <c r="H226" s="337" t="n"/>
      <c r="I226" s="337" t="n"/>
      <c r="J226" s="337" t="n"/>
      <c r="K226" s="337" t="n"/>
      <c r="L226" s="337" t="n">
        <v>772</v>
      </c>
      <c r="M226" s="317" t="inlineStr">
        <is>
          <t>Tokelau</t>
        </is>
      </c>
      <c r="N226" s="337" t="inlineStr">
        <is>
          <t>TK</t>
        </is>
      </c>
    </row>
    <row r="227" ht="18" customHeight="1" s="290">
      <c r="A227" s="317" t="n"/>
      <c r="B227" s="337" t="n"/>
      <c r="C227" s="554" t="n"/>
      <c r="D227" s="554" t="n"/>
      <c r="E227" s="554" t="n"/>
      <c r="F227" s="337" t="n"/>
      <c r="G227" s="337" t="n"/>
      <c r="H227" s="337" t="n"/>
      <c r="I227" s="337" t="n"/>
      <c r="J227" s="337" t="n"/>
      <c r="K227" s="337" t="n"/>
      <c r="L227" s="337" t="n">
        <v>776</v>
      </c>
      <c r="M227" s="317" t="inlineStr">
        <is>
          <t>Tonga</t>
        </is>
      </c>
      <c r="N227" s="337" t="inlineStr">
        <is>
          <t>TO</t>
        </is>
      </c>
    </row>
    <row r="228" ht="18" customHeight="1" s="290">
      <c r="A228" s="317" t="n"/>
      <c r="B228" s="337" t="n"/>
      <c r="C228" s="554" t="n"/>
      <c r="D228" s="554" t="n"/>
      <c r="E228" s="554" t="n"/>
      <c r="F228" s="337" t="n"/>
      <c r="G228" s="337" t="n"/>
      <c r="H228" s="337" t="n"/>
      <c r="I228" s="337" t="n"/>
      <c r="J228" s="337" t="n"/>
      <c r="K228" s="337" t="n"/>
      <c r="L228" s="337" t="n">
        <v>780</v>
      </c>
      <c r="M228" s="317" t="inlineStr">
        <is>
          <t>Trinidad and Tobago</t>
        </is>
      </c>
      <c r="N228" s="337" t="inlineStr">
        <is>
          <t>TT</t>
        </is>
      </c>
    </row>
    <row r="229" ht="18" customHeight="1" s="290">
      <c r="A229" s="317" t="n"/>
      <c r="B229" s="337" t="n"/>
      <c r="C229" s="554" t="n"/>
      <c r="D229" s="554" t="n"/>
      <c r="E229" s="554" t="n"/>
      <c r="F229" s="337" t="n"/>
      <c r="G229" s="337" t="n"/>
      <c r="H229" s="337" t="n"/>
      <c r="I229" s="337" t="n"/>
      <c r="J229" s="337" t="n"/>
      <c r="K229" s="337" t="n"/>
      <c r="L229" s="337" t="n">
        <v>788</v>
      </c>
      <c r="M229" s="317" t="inlineStr">
        <is>
          <t>Tunisia</t>
        </is>
      </c>
      <c r="N229" s="337" t="inlineStr">
        <is>
          <t>TN</t>
        </is>
      </c>
    </row>
    <row r="230" ht="18" customHeight="1" s="290">
      <c r="A230" s="317" t="n"/>
      <c r="B230" s="337" t="n"/>
      <c r="C230" s="554" t="n"/>
      <c r="D230" s="554" t="n"/>
      <c r="E230" s="554" t="n"/>
      <c r="F230" s="337" t="n"/>
      <c r="G230" s="337" t="n"/>
      <c r="H230" s="337" t="n"/>
      <c r="I230" s="337" t="n"/>
      <c r="J230" s="337" t="n"/>
      <c r="K230" s="337" t="n"/>
      <c r="L230" s="337" t="n">
        <v>792</v>
      </c>
      <c r="M230" s="317" t="inlineStr">
        <is>
          <t>Turkey</t>
        </is>
      </c>
      <c r="N230" s="337" t="inlineStr">
        <is>
          <t>TR</t>
        </is>
      </c>
    </row>
    <row r="231" ht="18" customHeight="1" s="290">
      <c r="A231" s="317" t="n"/>
      <c r="B231" s="337" t="n"/>
      <c r="C231" s="554" t="n"/>
      <c r="D231" s="554" t="n"/>
      <c r="E231" s="554" t="n"/>
      <c r="F231" s="337" t="n"/>
      <c r="G231" s="337" t="n"/>
      <c r="H231" s="337" t="n"/>
      <c r="I231" s="337" t="n"/>
      <c r="J231" s="337" t="n"/>
      <c r="K231" s="337" t="n"/>
      <c r="L231" s="337" t="n">
        <v>795</v>
      </c>
      <c r="M231" s="317" t="inlineStr">
        <is>
          <t>Turkmenistan</t>
        </is>
      </c>
      <c r="N231" s="337" t="inlineStr">
        <is>
          <t>TM</t>
        </is>
      </c>
    </row>
    <row r="232" ht="18" customHeight="1" s="290">
      <c r="A232" s="317" t="n"/>
      <c r="B232" s="337" t="n"/>
      <c r="C232" s="554" t="n"/>
      <c r="D232" s="554" t="n"/>
      <c r="E232" s="554" t="n"/>
      <c r="F232" s="337" t="n"/>
      <c r="G232" s="337" t="n"/>
      <c r="H232" s="337" t="n"/>
      <c r="I232" s="337" t="n"/>
      <c r="J232" s="337" t="n"/>
      <c r="K232" s="337" t="n"/>
      <c r="L232" s="337" t="n">
        <v>796</v>
      </c>
      <c r="M232" s="317" t="inlineStr">
        <is>
          <t>Turks and Caicos Islands</t>
        </is>
      </c>
      <c r="N232" s="337" t="inlineStr">
        <is>
          <t>TC</t>
        </is>
      </c>
    </row>
    <row r="233" ht="18" customHeight="1" s="290">
      <c r="A233" s="317" t="n"/>
      <c r="B233" s="337" t="n"/>
      <c r="C233" s="554" t="n"/>
      <c r="D233" s="554" t="n"/>
      <c r="E233" s="554" t="n"/>
      <c r="F233" s="337" t="n"/>
      <c r="G233" s="337" t="n"/>
      <c r="H233" s="337" t="n"/>
      <c r="I233" s="337" t="n"/>
      <c r="J233" s="337" t="n"/>
      <c r="K233" s="337" t="n"/>
      <c r="L233" s="337" t="n">
        <v>798</v>
      </c>
      <c r="M233" s="317" t="inlineStr">
        <is>
          <t>Tuvalu</t>
        </is>
      </c>
      <c r="N233" s="337" t="inlineStr">
        <is>
          <t>TV</t>
        </is>
      </c>
    </row>
    <row r="234" ht="18" customHeight="1" s="290">
      <c r="A234" s="317" t="n"/>
      <c r="B234" s="337" t="n"/>
      <c r="C234" s="554" t="n"/>
      <c r="D234" s="554" t="n"/>
      <c r="E234" s="554" t="n"/>
      <c r="F234" s="337" t="n"/>
      <c r="G234" s="337" t="n"/>
      <c r="H234" s="337" t="n"/>
      <c r="I234" s="337" t="n"/>
      <c r="J234" s="337" t="n"/>
      <c r="K234" s="337" t="n"/>
      <c r="L234" s="337" t="n">
        <v>800</v>
      </c>
      <c r="M234" s="317" t="inlineStr">
        <is>
          <t>Uganda</t>
        </is>
      </c>
      <c r="N234" s="337" t="inlineStr">
        <is>
          <t>UG</t>
        </is>
      </c>
    </row>
    <row r="235" ht="18" customHeight="1" s="290">
      <c r="A235" s="317" t="n"/>
      <c r="B235" s="337" t="n"/>
      <c r="C235" s="554" t="n"/>
      <c r="D235" s="554" t="n"/>
      <c r="E235" s="554" t="n"/>
      <c r="F235" s="337" t="n"/>
      <c r="G235" s="337" t="n"/>
      <c r="H235" s="337" t="n"/>
      <c r="I235" s="337" t="n"/>
      <c r="J235" s="337" t="n"/>
      <c r="K235" s="337" t="n"/>
      <c r="L235" s="337" t="n">
        <v>804</v>
      </c>
      <c r="M235" s="317" t="inlineStr">
        <is>
          <t>Ukraine</t>
        </is>
      </c>
      <c r="N235" s="337" t="inlineStr">
        <is>
          <t>UA</t>
        </is>
      </c>
    </row>
    <row r="236" ht="18" customHeight="1" s="290">
      <c r="A236" s="317" t="n"/>
      <c r="B236" s="337" t="n"/>
      <c r="C236" s="554" t="n"/>
      <c r="D236" s="554" t="n"/>
      <c r="E236" s="554" t="n"/>
      <c r="F236" s="337" t="n"/>
      <c r="G236" s="337" t="n"/>
      <c r="H236" s="337" t="n"/>
      <c r="I236" s="337" t="n"/>
      <c r="J236" s="337" t="n"/>
      <c r="K236" s="337" t="n"/>
      <c r="L236" s="337" t="n">
        <v>784</v>
      </c>
      <c r="M236" s="317" t="inlineStr">
        <is>
          <t>United Arab Emirates</t>
        </is>
      </c>
      <c r="N236" s="337" t="inlineStr">
        <is>
          <t>AE</t>
        </is>
      </c>
    </row>
    <row r="237" ht="18" customHeight="1" s="290">
      <c r="A237" s="317" t="n"/>
      <c r="B237" s="337" t="n"/>
      <c r="C237" s="554" t="n"/>
      <c r="D237" s="554" t="n"/>
      <c r="E237" s="554" t="n"/>
      <c r="F237" s="337" t="n"/>
      <c r="G237" s="337" t="n"/>
      <c r="H237" s="337" t="n"/>
      <c r="I237" s="337" t="n"/>
      <c r="J237" s="337" t="n"/>
      <c r="K237" s="337" t="n"/>
      <c r="L237" s="337" t="n">
        <v>826</v>
      </c>
      <c r="M237" s="317" t="inlineStr">
        <is>
          <t>United Kingdom</t>
        </is>
      </c>
      <c r="N237" s="337" t="inlineStr">
        <is>
          <t>GB</t>
        </is>
      </c>
    </row>
    <row r="238" ht="18" customHeight="1" s="290">
      <c r="A238" s="317" t="n"/>
      <c r="B238" s="337" t="n"/>
      <c r="C238" s="554" t="n"/>
      <c r="D238" s="554" t="n"/>
      <c r="E238" s="554" t="n"/>
      <c r="F238" s="337" t="n"/>
      <c r="G238" s="337" t="n"/>
      <c r="H238" s="337" t="n"/>
      <c r="I238" s="337" t="n"/>
      <c r="J238" s="337" t="n"/>
      <c r="K238" s="337" t="n"/>
      <c r="L238" s="337" t="n">
        <v>840</v>
      </c>
      <c r="M238" s="317" t="inlineStr">
        <is>
          <t>United States</t>
        </is>
      </c>
      <c r="N238" s="337" t="inlineStr">
        <is>
          <t>US</t>
        </is>
      </c>
    </row>
    <row r="239" ht="18" customHeight="1" s="290">
      <c r="A239" s="317" t="n"/>
      <c r="B239" s="337" t="n"/>
      <c r="C239" s="554" t="n"/>
      <c r="D239" s="554" t="n"/>
      <c r="E239" s="554" t="n"/>
      <c r="F239" s="337" t="n"/>
      <c r="G239" s="337" t="n"/>
      <c r="H239" s="337" t="n"/>
      <c r="I239" s="337" t="n"/>
      <c r="J239" s="337" t="n"/>
      <c r="K239" s="337" t="n"/>
      <c r="L239" s="337" t="n">
        <v>581</v>
      </c>
      <c r="M239" s="317" t="inlineStr">
        <is>
          <t>United States Minor Outlying Islands</t>
        </is>
      </c>
      <c r="N239" s="337" t="inlineStr">
        <is>
          <t>UM</t>
        </is>
      </c>
    </row>
    <row r="240" ht="18" customHeight="1" s="290">
      <c r="A240" s="317" t="n"/>
      <c r="B240" s="337" t="n"/>
      <c r="C240" s="554" t="n"/>
      <c r="D240" s="554" t="n"/>
      <c r="E240" s="554" t="n"/>
      <c r="F240" s="337" t="n"/>
      <c r="G240" s="337" t="n"/>
      <c r="H240" s="337" t="n"/>
      <c r="I240" s="337" t="n"/>
      <c r="J240" s="337" t="n"/>
      <c r="K240" s="337" t="n"/>
      <c r="L240" s="337" t="n">
        <v>858</v>
      </c>
      <c r="M240" s="317" t="inlineStr">
        <is>
          <t>Uruguay</t>
        </is>
      </c>
      <c r="N240" s="337" t="inlineStr">
        <is>
          <t>UY</t>
        </is>
      </c>
    </row>
    <row r="241" ht="18" customHeight="1" s="290">
      <c r="A241" s="317" t="n"/>
      <c r="B241" s="337" t="n"/>
      <c r="C241" s="554" t="n"/>
      <c r="D241" s="554" t="n"/>
      <c r="E241" s="554" t="n"/>
      <c r="F241" s="337" t="n"/>
      <c r="G241" s="337" t="n"/>
      <c r="H241" s="337" t="n"/>
      <c r="I241" s="337" t="n"/>
      <c r="J241" s="337" t="n"/>
      <c r="K241" s="337" t="n"/>
      <c r="L241" s="337" t="n">
        <v>860</v>
      </c>
      <c r="M241" s="317" t="inlineStr">
        <is>
          <t>Uzbekistan</t>
        </is>
      </c>
      <c r="N241" s="337" t="inlineStr">
        <is>
          <t>UZ</t>
        </is>
      </c>
    </row>
    <row r="242" ht="18" customHeight="1" s="290">
      <c r="A242" s="317" t="n"/>
      <c r="B242" s="337" t="n"/>
      <c r="C242" s="554" t="n"/>
      <c r="D242" s="554" t="n"/>
      <c r="E242" s="554" t="n"/>
      <c r="F242" s="337" t="n"/>
      <c r="G242" s="337" t="n"/>
      <c r="H242" s="337" t="n"/>
      <c r="I242" s="337" t="n"/>
      <c r="J242" s="337" t="n"/>
      <c r="K242" s="337" t="n"/>
      <c r="L242" s="337" t="n">
        <v>548</v>
      </c>
      <c r="M242" s="317" t="inlineStr">
        <is>
          <t>Vanuatu</t>
        </is>
      </c>
      <c r="N242" s="337" t="inlineStr">
        <is>
          <t>VU</t>
        </is>
      </c>
    </row>
    <row r="243" ht="18" customHeight="1" s="290">
      <c r="A243" s="317" t="n"/>
      <c r="B243" s="337" t="n"/>
      <c r="C243" s="554" t="n"/>
      <c r="D243" s="554" t="n"/>
      <c r="E243" s="554" t="n"/>
      <c r="F243" s="337" t="n"/>
      <c r="G243" s="337" t="n"/>
      <c r="H243" s="337" t="n"/>
      <c r="I243" s="337" t="n"/>
      <c r="J243" s="337" t="n"/>
      <c r="K243" s="337" t="n"/>
      <c r="L243" s="337" t="n">
        <v>862</v>
      </c>
      <c r="M243" s="317" t="inlineStr">
        <is>
          <t>Venezuela, Bolivarian Republic of</t>
        </is>
      </c>
      <c r="N243" s="337" t="inlineStr">
        <is>
          <t>VE</t>
        </is>
      </c>
    </row>
    <row r="244" ht="18" customHeight="1" s="290">
      <c r="A244" s="317" t="n"/>
      <c r="B244" s="337" t="n"/>
      <c r="C244" s="554" t="n"/>
      <c r="D244" s="554" t="n"/>
      <c r="E244" s="554" t="n"/>
      <c r="F244" s="337" t="n"/>
      <c r="G244" s="337" t="n"/>
      <c r="H244" s="337" t="n"/>
      <c r="I244" s="337" t="n"/>
      <c r="J244" s="337" t="n"/>
      <c r="K244" s="337" t="n"/>
      <c r="L244" s="337" t="n">
        <v>704</v>
      </c>
      <c r="M244" s="317" t="inlineStr">
        <is>
          <t>Viet Nam</t>
        </is>
      </c>
      <c r="N244" s="337" t="inlineStr">
        <is>
          <t>VN</t>
        </is>
      </c>
    </row>
    <row r="245" ht="18" customHeight="1" s="290">
      <c r="A245" s="317" t="n"/>
      <c r="B245" s="337" t="n"/>
      <c r="C245" s="554" t="n"/>
      <c r="D245" s="554" t="n"/>
      <c r="E245" s="554" t="n"/>
      <c r="F245" s="337" t="n"/>
      <c r="G245" s="337" t="n"/>
      <c r="H245" s="337" t="n"/>
      <c r="I245" s="337" t="n"/>
      <c r="J245" s="337" t="n"/>
      <c r="K245" s="337" t="n"/>
      <c r="L245" s="337" t="n">
        <v>92</v>
      </c>
      <c r="M245" s="317" t="inlineStr">
        <is>
          <t>Virgin Islands, British</t>
        </is>
      </c>
      <c r="N245" s="337" t="inlineStr">
        <is>
          <t>VG</t>
        </is>
      </c>
    </row>
    <row r="246" ht="18" customHeight="1" s="290">
      <c r="A246" s="317" t="n"/>
      <c r="B246" s="337" t="n"/>
      <c r="C246" s="554" t="n"/>
      <c r="D246" s="554" t="n"/>
      <c r="E246" s="554" t="n"/>
      <c r="F246" s="337" t="n"/>
      <c r="G246" s="337" t="n"/>
      <c r="H246" s="337" t="n"/>
      <c r="I246" s="337" t="n"/>
      <c r="J246" s="337" t="n"/>
      <c r="K246" s="337" t="n"/>
      <c r="L246" s="337" t="n">
        <v>850</v>
      </c>
      <c r="M246" s="317" t="inlineStr">
        <is>
          <t>Virgin Islands, U.S.</t>
        </is>
      </c>
      <c r="N246" s="337" t="inlineStr">
        <is>
          <t>VI</t>
        </is>
      </c>
    </row>
    <row r="247" ht="18" customHeight="1" s="290">
      <c r="A247" s="317" t="n"/>
      <c r="B247" s="337" t="n"/>
      <c r="C247" s="554" t="n"/>
      <c r="D247" s="554" t="n"/>
      <c r="E247" s="554" t="n"/>
      <c r="F247" s="337" t="n"/>
      <c r="G247" s="337" t="n"/>
      <c r="H247" s="337" t="n"/>
      <c r="I247" s="337" t="n"/>
      <c r="J247" s="337" t="n"/>
      <c r="K247" s="337" t="n"/>
      <c r="L247" s="337" t="n">
        <v>876</v>
      </c>
      <c r="M247" s="317" t="inlineStr">
        <is>
          <t>Wallis and Futuna</t>
        </is>
      </c>
      <c r="N247" s="337" t="inlineStr">
        <is>
          <t>WF</t>
        </is>
      </c>
    </row>
    <row r="248" ht="18" customHeight="1" s="290">
      <c r="A248" s="317" t="n"/>
      <c r="B248" s="337" t="n"/>
      <c r="C248" s="554" t="n"/>
      <c r="D248" s="554" t="n"/>
      <c r="E248" s="554" t="n"/>
      <c r="F248" s="337" t="n"/>
      <c r="G248" s="337" t="n"/>
      <c r="H248" s="337" t="n"/>
      <c r="I248" s="337" t="n"/>
      <c r="J248" s="337" t="n"/>
      <c r="K248" s="337" t="n"/>
      <c r="L248" s="337" t="n">
        <v>732</v>
      </c>
      <c r="M248" s="317" t="inlineStr">
        <is>
          <t>Western Sahara</t>
        </is>
      </c>
      <c r="N248" s="337" t="inlineStr">
        <is>
          <t>EH</t>
        </is>
      </c>
    </row>
    <row r="249" ht="18" customHeight="1" s="290">
      <c r="A249" s="317" t="n"/>
      <c r="B249" s="337" t="n"/>
      <c r="C249" s="554" t="n"/>
      <c r="D249" s="554" t="n"/>
      <c r="E249" s="554" t="n"/>
      <c r="F249" s="337" t="n"/>
      <c r="G249" s="337" t="n"/>
      <c r="H249" s="337" t="n"/>
      <c r="I249" s="337" t="n"/>
      <c r="J249" s="337" t="n"/>
      <c r="K249" s="337" t="n"/>
      <c r="L249" s="337" t="n">
        <v>887</v>
      </c>
      <c r="M249" s="317" t="inlineStr">
        <is>
          <t>Yemen</t>
        </is>
      </c>
      <c r="N249" s="337" t="inlineStr">
        <is>
          <t>YE</t>
        </is>
      </c>
    </row>
    <row r="250" ht="18" customHeight="1" s="290">
      <c r="A250" s="317" t="n"/>
      <c r="B250" s="337" t="n"/>
      <c r="C250" s="554" t="n"/>
      <c r="D250" s="554" t="n"/>
      <c r="E250" s="554" t="n"/>
      <c r="F250" s="337" t="n"/>
      <c r="G250" s="337" t="n"/>
      <c r="H250" s="337" t="n"/>
      <c r="I250" s="337" t="n"/>
      <c r="J250" s="337" t="n"/>
      <c r="K250" s="337" t="n"/>
      <c r="L250" s="337" t="n">
        <v>894</v>
      </c>
      <c r="M250" s="317" t="inlineStr">
        <is>
          <t>Zambia</t>
        </is>
      </c>
      <c r="N250" s="337" t="inlineStr">
        <is>
          <t>ZM</t>
        </is>
      </c>
    </row>
    <row r="251" ht="18" customHeight="1" s="290">
      <c r="A251" s="317" t="n"/>
      <c r="B251" s="337" t="n"/>
      <c r="C251" s="554" t="n"/>
      <c r="D251" s="554" t="n"/>
      <c r="E251" s="554" t="n"/>
      <c r="F251" s="337" t="n"/>
      <c r="G251" s="337" t="n"/>
      <c r="H251" s="337" t="n"/>
      <c r="I251" s="337" t="n"/>
      <c r="J251" s="337" t="n"/>
      <c r="K251" s="337" t="n"/>
      <c r="L251" s="337" t="n">
        <v>716</v>
      </c>
      <c r="M251" s="317" t="inlineStr">
        <is>
          <t>Zimbabwe</t>
        </is>
      </c>
      <c r="N251" s="337" t="inlineStr">
        <is>
          <t>ZW</t>
        </is>
      </c>
    </row>
    <row r="252" ht="18" customHeight="1" s="290">
      <c r="A252" s="317" t="n"/>
      <c r="B252" s="337" t="n"/>
      <c r="C252" s="554" t="n"/>
      <c r="D252" s="554" t="n"/>
      <c r="E252" s="554" t="n"/>
      <c r="F252" s="337" t="n"/>
      <c r="G252" s="337" t="n"/>
      <c r="H252" s="337" t="n"/>
      <c r="I252" s="337" t="n"/>
      <c r="J252" s="337" t="n"/>
      <c r="K252" s="337" t="n"/>
    </row>
  </sheetData>
  <mergeCells count="16">
    <mergeCell ref="L1:N1"/>
    <mergeCell ref="C1:D1"/>
    <mergeCell ref="B12:B13"/>
    <mergeCell ref="A12:A13"/>
    <mergeCell ref="E1:F1"/>
    <mergeCell ref="C12:C13"/>
    <mergeCell ref="E12:E13"/>
    <mergeCell ref="F12:F13"/>
    <mergeCell ref="G1:G2"/>
    <mergeCell ref="A1:B1"/>
    <mergeCell ref="K1:K2"/>
    <mergeCell ref="I1:I2"/>
    <mergeCell ref="D12:D13"/>
    <mergeCell ref="G12:I12"/>
    <mergeCell ref="J1:J2"/>
    <mergeCell ref="H1:H2"/>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50.xml><?xml version="1.0" encoding="utf-8"?>
<worksheet xmlns="http://schemas.openxmlformats.org/spreadsheetml/2006/main">
  <sheetPr filterMode="0">
    <tabColor rgb="FF434343"/>
    <outlinePr summaryBelow="1" summaryRight="1"/>
    <pageSetUpPr fitToPage="0"/>
  </sheetPr>
  <dimension ref="A1:Z25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0"/>
  <cols>
    <col width="17.38" customWidth="1" style="289" min="1" max="3"/>
    <col width="12.72" customWidth="1" style="289" min="4" max="1024"/>
  </cols>
  <sheetData>
    <row r="1" ht="24.75" customHeight="1" s="290">
      <c r="A1" s="566" t="inlineStr">
        <is>
          <t>Countries</t>
        </is>
      </c>
      <c r="D1" s="567" t="n"/>
      <c r="E1" s="567" t="inlineStr">
        <is>
          <t>Currency</t>
        </is>
      </c>
      <c r="F1" s="568" t="n"/>
      <c r="G1" s="568" t="n"/>
      <c r="H1" s="568" t="n"/>
      <c r="I1" s="568" t="n"/>
      <c r="J1" s="568" t="n"/>
      <c r="K1" s="568" t="n"/>
      <c r="L1" s="568" t="n"/>
      <c r="M1" s="568" t="n"/>
      <c r="N1" s="568" t="n"/>
      <c r="O1" s="568" t="n"/>
      <c r="P1" s="568" t="n"/>
      <c r="Q1" s="568" t="n"/>
      <c r="R1" s="568" t="n"/>
      <c r="S1" s="568" t="n"/>
      <c r="T1" s="568" t="n"/>
      <c r="U1" s="568" t="n"/>
      <c r="V1" s="568" t="n"/>
      <c r="W1" s="568" t="n"/>
      <c r="X1" s="568" t="n"/>
      <c r="Y1" s="568" t="n"/>
      <c r="Z1" s="568" t="n"/>
    </row>
    <row r="2" ht="24.75" customHeight="1" s="290">
      <c r="A2" s="569" t="inlineStr">
        <is>
          <t>Numeric code</t>
        </is>
      </c>
      <c r="B2" s="569" t="inlineStr">
        <is>
          <t>Country</t>
        </is>
      </c>
      <c r="C2" s="569" t="inlineStr">
        <is>
          <t>Country code</t>
        </is>
      </c>
      <c r="D2" s="569" t="n"/>
      <c r="E2" s="569" t="inlineStr">
        <is>
          <t>Code</t>
        </is>
      </c>
    </row>
    <row r="3" ht="15" customHeight="1" s="290">
      <c r="A3" s="380" t="n">
        <v>4</v>
      </c>
      <c r="B3" s="438" t="inlineStr">
        <is>
          <t>Afghanistan</t>
        </is>
      </c>
      <c r="C3" s="380" t="inlineStr">
        <is>
          <t>AF</t>
        </is>
      </c>
      <c r="E3" s="570" t="inlineStr">
        <is>
          <t>AED</t>
        </is>
      </c>
    </row>
    <row r="4" ht="15" customHeight="1" s="290">
      <c r="A4" s="380" t="n">
        <v>248</v>
      </c>
      <c r="B4" s="438" t="inlineStr">
        <is>
          <t>Åland Islands</t>
        </is>
      </c>
      <c r="C4" s="380" t="inlineStr">
        <is>
          <t>AX</t>
        </is>
      </c>
      <c r="E4" s="570" t="inlineStr">
        <is>
          <t>AFN</t>
        </is>
      </c>
    </row>
    <row r="5" ht="15" customHeight="1" s="290">
      <c r="A5" s="380" t="n">
        <v>8</v>
      </c>
      <c r="B5" s="438" t="inlineStr">
        <is>
          <t>Albania</t>
        </is>
      </c>
      <c r="C5" s="380" t="inlineStr">
        <is>
          <t>AL</t>
        </is>
      </c>
      <c r="E5" s="570" t="inlineStr">
        <is>
          <t>ALL</t>
        </is>
      </c>
    </row>
    <row r="6" ht="15" customHeight="1" s="290">
      <c r="A6" s="380" t="n">
        <v>12</v>
      </c>
      <c r="B6" s="438" t="inlineStr">
        <is>
          <t>Algeria</t>
        </is>
      </c>
      <c r="C6" s="380" t="inlineStr">
        <is>
          <t>DZ</t>
        </is>
      </c>
      <c r="E6" s="570" t="inlineStr">
        <is>
          <t>AMD</t>
        </is>
      </c>
    </row>
    <row r="7" ht="15" customHeight="1" s="290">
      <c r="A7" s="380" t="n">
        <v>16</v>
      </c>
      <c r="B7" s="438" t="inlineStr">
        <is>
          <t>American Samoa</t>
        </is>
      </c>
      <c r="C7" s="380" t="inlineStr">
        <is>
          <t>AS</t>
        </is>
      </c>
      <c r="E7" s="570" t="inlineStr">
        <is>
          <t>ANG</t>
        </is>
      </c>
    </row>
    <row r="8" ht="15" customHeight="1" s="290">
      <c r="A8" s="380" t="n">
        <v>20</v>
      </c>
      <c r="B8" s="438" t="inlineStr">
        <is>
          <t>Andorra</t>
        </is>
      </c>
      <c r="C8" s="380" t="inlineStr">
        <is>
          <t>AD</t>
        </is>
      </c>
      <c r="E8" s="570" t="inlineStr">
        <is>
          <t>AOA</t>
        </is>
      </c>
    </row>
    <row r="9" ht="15" customHeight="1" s="290">
      <c r="A9" s="380" t="n">
        <v>24</v>
      </c>
      <c r="B9" s="438" t="inlineStr">
        <is>
          <t>Angola</t>
        </is>
      </c>
      <c r="C9" s="380" t="inlineStr">
        <is>
          <t>AO</t>
        </is>
      </c>
      <c r="E9" s="570" t="inlineStr">
        <is>
          <t>ARS</t>
        </is>
      </c>
    </row>
    <row r="10" ht="15" customHeight="1" s="290">
      <c r="A10" s="380" t="n">
        <v>660</v>
      </c>
      <c r="B10" s="438" t="inlineStr">
        <is>
          <t>Anguilla</t>
        </is>
      </c>
      <c r="C10" s="380" t="inlineStr">
        <is>
          <t>AI</t>
        </is>
      </c>
      <c r="E10" s="570" t="inlineStr">
        <is>
          <t>AUD</t>
        </is>
      </c>
    </row>
    <row r="11" ht="15" customHeight="1" s="290">
      <c r="A11" s="380" t="n">
        <v>10</v>
      </c>
      <c r="B11" s="438" t="inlineStr">
        <is>
          <t>Antarctica</t>
        </is>
      </c>
      <c r="C11" s="380" t="inlineStr">
        <is>
          <t>AQ</t>
        </is>
      </c>
      <c r="E11" s="570" t="inlineStr">
        <is>
          <t>AWG</t>
        </is>
      </c>
    </row>
    <row r="12" ht="15" customHeight="1" s="290">
      <c r="A12" s="437" t="inlineStr">
        <is>
          <t>28</t>
        </is>
      </c>
      <c r="B12" s="529" t="inlineStr">
        <is>
          <t>Antigua and Barbuda</t>
        </is>
      </c>
      <c r="C12" s="437" t="inlineStr">
        <is>
          <t>AG</t>
        </is>
      </c>
      <c r="E12" s="570" t="inlineStr">
        <is>
          <t>AZN</t>
        </is>
      </c>
    </row>
    <row r="13" ht="15" customHeight="1" s="290">
      <c r="A13" s="380" t="n">
        <v>32</v>
      </c>
      <c r="B13" s="438" t="inlineStr">
        <is>
          <t>Argentina</t>
        </is>
      </c>
      <c r="C13" s="380" t="inlineStr">
        <is>
          <t>AR</t>
        </is>
      </c>
      <c r="E13" s="570" t="inlineStr">
        <is>
          <t>BAM</t>
        </is>
      </c>
    </row>
    <row r="14" ht="15" customHeight="1" s="290">
      <c r="A14" s="380" t="n">
        <v>51</v>
      </c>
      <c r="B14" s="438" t="inlineStr">
        <is>
          <t>Armenia</t>
        </is>
      </c>
      <c r="C14" s="380" t="inlineStr">
        <is>
          <t>AM</t>
        </is>
      </c>
      <c r="E14" s="570" t="inlineStr">
        <is>
          <t>BBD</t>
        </is>
      </c>
    </row>
    <row r="15" ht="15" customHeight="1" s="290">
      <c r="A15" s="380" t="n">
        <v>533</v>
      </c>
      <c r="B15" s="438" t="inlineStr">
        <is>
          <t>Aruba</t>
        </is>
      </c>
      <c r="C15" s="380" t="inlineStr">
        <is>
          <t>AW</t>
        </is>
      </c>
      <c r="E15" s="570" t="inlineStr">
        <is>
          <t>BDT</t>
        </is>
      </c>
    </row>
    <row r="16" ht="15" customHeight="1" s="290">
      <c r="A16" s="380" t="n">
        <v>36</v>
      </c>
      <c r="B16" s="438" t="inlineStr">
        <is>
          <t>Australia</t>
        </is>
      </c>
      <c r="C16" s="380" t="inlineStr">
        <is>
          <t>AU</t>
        </is>
      </c>
      <c r="E16" s="570" t="inlineStr">
        <is>
          <t>BGN</t>
        </is>
      </c>
    </row>
    <row r="17" ht="15" customHeight="1" s="290">
      <c r="A17" s="380" t="n">
        <v>40</v>
      </c>
      <c r="B17" s="438" t="inlineStr">
        <is>
          <t>Austria</t>
        </is>
      </c>
      <c r="C17" s="380" t="inlineStr">
        <is>
          <t>AT</t>
        </is>
      </c>
      <c r="E17" s="570" t="inlineStr">
        <is>
          <t>BHD</t>
        </is>
      </c>
    </row>
    <row r="18" ht="15" customHeight="1" s="290">
      <c r="A18" s="380" t="n">
        <v>31</v>
      </c>
      <c r="B18" s="438" t="inlineStr">
        <is>
          <t>Azerbaijan</t>
        </is>
      </c>
      <c r="C18" s="380" t="inlineStr">
        <is>
          <t>AZ</t>
        </is>
      </c>
      <c r="E18" s="570" t="inlineStr">
        <is>
          <t>BIF</t>
        </is>
      </c>
    </row>
    <row r="19" ht="15" customHeight="1" s="290">
      <c r="A19" s="380" t="n">
        <v>44</v>
      </c>
      <c r="B19" s="438" t="inlineStr">
        <is>
          <t>Bahamas</t>
        </is>
      </c>
      <c r="C19" s="380" t="inlineStr">
        <is>
          <t>BS</t>
        </is>
      </c>
      <c r="E19" s="570" t="inlineStr">
        <is>
          <t>BMD</t>
        </is>
      </c>
    </row>
    <row r="20" ht="15" customHeight="1" s="290">
      <c r="A20" s="380" t="n">
        <v>48</v>
      </c>
      <c r="B20" s="438" t="inlineStr">
        <is>
          <t>Bahrain</t>
        </is>
      </c>
      <c r="C20" s="380" t="inlineStr">
        <is>
          <t>BH</t>
        </is>
      </c>
      <c r="E20" s="570" t="inlineStr">
        <is>
          <t>BND</t>
        </is>
      </c>
    </row>
    <row r="21" ht="15" customHeight="1" s="290">
      <c r="A21" s="380" t="n">
        <v>50</v>
      </c>
      <c r="B21" s="438" t="inlineStr">
        <is>
          <t>Bangladesh</t>
        </is>
      </c>
      <c r="C21" s="380" t="inlineStr">
        <is>
          <t>BD</t>
        </is>
      </c>
      <c r="E21" s="570" t="inlineStr">
        <is>
          <t>BOB</t>
        </is>
      </c>
    </row>
    <row r="22" ht="15" customHeight="1" s="290">
      <c r="A22" s="380" t="n">
        <v>52</v>
      </c>
      <c r="B22" s="438" t="inlineStr">
        <is>
          <t>Barbados</t>
        </is>
      </c>
      <c r="C22" s="380" t="inlineStr">
        <is>
          <t>BB</t>
        </is>
      </c>
      <c r="E22" s="570" t="inlineStr">
        <is>
          <t>BOV</t>
        </is>
      </c>
    </row>
    <row r="23" ht="15" customHeight="1" s="290">
      <c r="A23" s="380" t="n">
        <v>112</v>
      </c>
      <c r="B23" s="438" t="inlineStr">
        <is>
          <t>Belarus</t>
        </is>
      </c>
      <c r="C23" s="380" t="inlineStr">
        <is>
          <t>BY</t>
        </is>
      </c>
      <c r="E23" s="570" t="inlineStr">
        <is>
          <t>BRL</t>
        </is>
      </c>
    </row>
    <row r="24" ht="15" customHeight="1" s="290">
      <c r="A24" s="380" t="n">
        <v>56</v>
      </c>
      <c r="B24" s="438" t="inlineStr">
        <is>
          <t>Belgium</t>
        </is>
      </c>
      <c r="C24" s="380" t="inlineStr">
        <is>
          <t>BE</t>
        </is>
      </c>
      <c r="E24" s="570" t="inlineStr">
        <is>
          <t>BSD</t>
        </is>
      </c>
    </row>
    <row r="25" ht="15" customHeight="1" s="290">
      <c r="A25" s="380" t="n">
        <v>84</v>
      </c>
      <c r="B25" s="438" t="inlineStr">
        <is>
          <t>Belize</t>
        </is>
      </c>
      <c r="C25" s="380" t="inlineStr">
        <is>
          <t>BZ</t>
        </is>
      </c>
      <c r="E25" s="570" t="inlineStr">
        <is>
          <t>BTN</t>
        </is>
      </c>
    </row>
    <row r="26" ht="15" customHeight="1" s="290">
      <c r="A26" s="380" t="n">
        <v>204</v>
      </c>
      <c r="B26" s="438" t="inlineStr">
        <is>
          <t>Benin</t>
        </is>
      </c>
      <c r="C26" s="380" t="inlineStr">
        <is>
          <t>BJ</t>
        </is>
      </c>
      <c r="E26" s="570" t="inlineStr">
        <is>
          <t>BWP</t>
        </is>
      </c>
    </row>
    <row r="27" ht="15" customHeight="1" s="290">
      <c r="A27" s="380" t="n">
        <v>60</v>
      </c>
      <c r="B27" s="438" t="inlineStr">
        <is>
          <t>Bermuda</t>
        </is>
      </c>
      <c r="C27" s="380" t="inlineStr">
        <is>
          <t>BM</t>
        </is>
      </c>
      <c r="E27" s="570" t="inlineStr">
        <is>
          <t>BYR</t>
        </is>
      </c>
    </row>
    <row r="28" ht="15" customHeight="1" s="290">
      <c r="A28" s="380" t="n">
        <v>64</v>
      </c>
      <c r="B28" s="438" t="inlineStr">
        <is>
          <t>Bhutan</t>
        </is>
      </c>
      <c r="C28" s="380" t="inlineStr">
        <is>
          <t>BT</t>
        </is>
      </c>
      <c r="E28" s="570" t="inlineStr">
        <is>
          <t>BZD</t>
        </is>
      </c>
    </row>
    <row r="29" ht="15" customHeight="1" s="290">
      <c r="A29" s="380" t="n">
        <v>68</v>
      </c>
      <c r="B29" s="438" t="inlineStr">
        <is>
          <t>Bolivia, Plurinational State of</t>
        </is>
      </c>
      <c r="C29" s="380" t="inlineStr">
        <is>
          <t>BO</t>
        </is>
      </c>
      <c r="E29" s="570" t="inlineStr">
        <is>
          <t>CAD</t>
        </is>
      </c>
    </row>
    <row r="30" ht="15" customHeight="1" s="290">
      <c r="A30" s="380" t="n">
        <v>535</v>
      </c>
      <c r="B30" s="438" t="inlineStr">
        <is>
          <t>Bonaire, Sint Eustatius and Saba</t>
        </is>
      </c>
      <c r="C30" s="380" t="inlineStr">
        <is>
          <t>BQ</t>
        </is>
      </c>
      <c r="E30" s="570" t="inlineStr">
        <is>
          <t>CDF</t>
        </is>
      </c>
    </row>
    <row r="31" ht="15" customHeight="1" s="290">
      <c r="A31" s="380" t="n">
        <v>70</v>
      </c>
      <c r="B31" s="438" t="inlineStr">
        <is>
          <t>Bosnia and Herzegovina</t>
        </is>
      </c>
      <c r="C31" s="380" t="inlineStr">
        <is>
          <t>BA</t>
        </is>
      </c>
      <c r="E31" s="570" t="inlineStr">
        <is>
          <t>CHE</t>
        </is>
      </c>
    </row>
    <row r="32" ht="15" customHeight="1" s="290">
      <c r="A32" s="380" t="n">
        <v>72</v>
      </c>
      <c r="B32" s="438" t="inlineStr">
        <is>
          <t>Botswana</t>
        </is>
      </c>
      <c r="C32" s="380" t="inlineStr">
        <is>
          <t>BW</t>
        </is>
      </c>
      <c r="E32" s="570" t="inlineStr">
        <is>
          <t>CHF</t>
        </is>
      </c>
    </row>
    <row r="33" ht="15" customHeight="1" s="290">
      <c r="A33" s="380" t="n">
        <v>74</v>
      </c>
      <c r="B33" s="438" t="inlineStr">
        <is>
          <t>Bouvet Island</t>
        </is>
      </c>
      <c r="C33" s="380" t="inlineStr">
        <is>
          <t>BV</t>
        </is>
      </c>
      <c r="E33" s="570" t="inlineStr">
        <is>
          <t>CHW</t>
        </is>
      </c>
    </row>
    <row r="34" ht="15" customHeight="1" s="290">
      <c r="A34" s="380" t="n">
        <v>76</v>
      </c>
      <c r="B34" s="438" t="inlineStr">
        <is>
          <t>Brazil</t>
        </is>
      </c>
      <c r="C34" s="380" t="inlineStr">
        <is>
          <t>BR</t>
        </is>
      </c>
      <c r="E34" s="570" t="inlineStr">
        <is>
          <t>CLF</t>
        </is>
      </c>
    </row>
    <row r="35" ht="15" customHeight="1" s="290">
      <c r="A35" s="380" t="n">
        <v>86</v>
      </c>
      <c r="B35" s="438" t="inlineStr">
        <is>
          <t>British Indian Ocean Territory</t>
        </is>
      </c>
      <c r="C35" s="380" t="inlineStr">
        <is>
          <t>IO</t>
        </is>
      </c>
      <c r="E35" s="570" t="inlineStr">
        <is>
          <t>CLP</t>
        </is>
      </c>
    </row>
    <row r="36" ht="15" customHeight="1" s="290">
      <c r="A36" s="380" t="n">
        <v>96</v>
      </c>
      <c r="B36" s="438" t="inlineStr">
        <is>
          <t>Brunei Darussalam</t>
        </is>
      </c>
      <c r="C36" s="380" t="inlineStr">
        <is>
          <t>BN</t>
        </is>
      </c>
      <c r="E36" s="570" t="inlineStr">
        <is>
          <t>CNY</t>
        </is>
      </c>
    </row>
    <row r="37" ht="15" customHeight="1" s="290">
      <c r="A37" s="380" t="n">
        <v>100</v>
      </c>
      <c r="B37" s="438" t="inlineStr">
        <is>
          <t>Bulgaria</t>
        </is>
      </c>
      <c r="C37" s="380" t="inlineStr">
        <is>
          <t>BG</t>
        </is>
      </c>
      <c r="E37" s="570" t="inlineStr">
        <is>
          <t>COP</t>
        </is>
      </c>
    </row>
    <row r="38" ht="15" customHeight="1" s="290">
      <c r="A38" s="380" t="n">
        <v>854</v>
      </c>
      <c r="B38" s="438" t="inlineStr">
        <is>
          <t>Burkina Faso</t>
        </is>
      </c>
      <c r="C38" s="380" t="inlineStr">
        <is>
          <t>BF</t>
        </is>
      </c>
      <c r="E38" s="570" t="inlineStr">
        <is>
          <t>COU</t>
        </is>
      </c>
    </row>
    <row r="39" ht="15" customHeight="1" s="290">
      <c r="A39" s="380" t="n">
        <v>108</v>
      </c>
      <c r="B39" s="438" t="inlineStr">
        <is>
          <t>Burundi</t>
        </is>
      </c>
      <c r="C39" s="380" t="inlineStr">
        <is>
          <t>BI</t>
        </is>
      </c>
      <c r="E39" s="570" t="inlineStr">
        <is>
          <t>CRC</t>
        </is>
      </c>
    </row>
    <row r="40" ht="15" customHeight="1" s="290">
      <c r="A40" s="380" t="n">
        <v>116</v>
      </c>
      <c r="B40" s="438" t="inlineStr">
        <is>
          <t>Cambodia</t>
        </is>
      </c>
      <c r="C40" s="380" t="inlineStr">
        <is>
          <t>KH</t>
        </is>
      </c>
      <c r="E40" s="570" t="inlineStr">
        <is>
          <t>CUC</t>
        </is>
      </c>
    </row>
    <row r="41" ht="15" customHeight="1" s="290">
      <c r="A41" s="380" t="n">
        <v>120</v>
      </c>
      <c r="B41" s="438" t="inlineStr">
        <is>
          <t>Cameroon</t>
        </is>
      </c>
      <c r="C41" s="380" t="inlineStr">
        <is>
          <t>CM</t>
        </is>
      </c>
      <c r="E41" s="570" t="inlineStr">
        <is>
          <t>CUP</t>
        </is>
      </c>
    </row>
    <row r="42" ht="15" customHeight="1" s="290">
      <c r="A42" s="380" t="n">
        <v>124</v>
      </c>
      <c r="B42" s="438" t="inlineStr">
        <is>
          <t>Canada</t>
        </is>
      </c>
      <c r="C42" s="380" t="inlineStr">
        <is>
          <t>CA</t>
        </is>
      </c>
      <c r="E42" s="570" t="inlineStr">
        <is>
          <t>CVE</t>
        </is>
      </c>
    </row>
    <row r="43" ht="15" customHeight="1" s="290">
      <c r="A43" s="380" t="n">
        <v>132</v>
      </c>
      <c r="B43" s="438" t="inlineStr">
        <is>
          <t>Cape Verde</t>
        </is>
      </c>
      <c r="C43" s="380" t="inlineStr">
        <is>
          <t>CV</t>
        </is>
      </c>
      <c r="E43" s="570" t="inlineStr">
        <is>
          <t>CZK</t>
        </is>
      </c>
    </row>
    <row r="44" ht="15" customHeight="1" s="290">
      <c r="A44" s="380" t="n">
        <v>136</v>
      </c>
      <c r="B44" s="438" t="inlineStr">
        <is>
          <t>Cayman Islands</t>
        </is>
      </c>
      <c r="C44" s="380" t="inlineStr">
        <is>
          <t>KY</t>
        </is>
      </c>
      <c r="E44" s="570" t="inlineStr">
        <is>
          <t>DJF</t>
        </is>
      </c>
    </row>
    <row r="45" ht="15" customHeight="1" s="290">
      <c r="A45" s="380" t="n">
        <v>140</v>
      </c>
      <c r="B45" s="438" t="inlineStr">
        <is>
          <t>Central African Republic</t>
        </is>
      </c>
      <c r="C45" s="380" t="inlineStr">
        <is>
          <t>CF</t>
        </is>
      </c>
      <c r="E45" s="570" t="inlineStr">
        <is>
          <t>DKK</t>
        </is>
      </c>
    </row>
    <row r="46" ht="15" customHeight="1" s="290">
      <c r="A46" s="380" t="n">
        <v>148</v>
      </c>
      <c r="B46" s="438" t="inlineStr">
        <is>
          <t>Chad</t>
        </is>
      </c>
      <c r="C46" s="380" t="inlineStr">
        <is>
          <t>TD</t>
        </is>
      </c>
      <c r="E46" s="570" t="inlineStr">
        <is>
          <t>DOP</t>
        </is>
      </c>
    </row>
    <row r="47" ht="15" customHeight="1" s="290">
      <c r="A47" s="380" t="n">
        <v>152</v>
      </c>
      <c r="B47" s="438" t="inlineStr">
        <is>
          <t>Chile</t>
        </is>
      </c>
      <c r="C47" s="380" t="inlineStr">
        <is>
          <t>CL</t>
        </is>
      </c>
      <c r="E47" s="570" t="inlineStr">
        <is>
          <t>DZD</t>
        </is>
      </c>
    </row>
    <row r="48" ht="15" customHeight="1" s="290">
      <c r="A48" s="380" t="n">
        <v>156</v>
      </c>
      <c r="B48" s="438" t="inlineStr">
        <is>
          <t>China</t>
        </is>
      </c>
      <c r="C48" s="380" t="inlineStr">
        <is>
          <t>CN</t>
        </is>
      </c>
      <c r="E48" s="570" t="inlineStr">
        <is>
          <t>EGP</t>
        </is>
      </c>
    </row>
    <row r="49" ht="15" customHeight="1" s="290">
      <c r="A49" s="380" t="n">
        <v>162</v>
      </c>
      <c r="B49" s="438" t="inlineStr">
        <is>
          <t>Christmas Island</t>
        </is>
      </c>
      <c r="C49" s="380" t="inlineStr">
        <is>
          <t>CX</t>
        </is>
      </c>
      <c r="E49" s="570" t="inlineStr">
        <is>
          <t>ERN</t>
        </is>
      </c>
    </row>
    <row r="50" ht="15" customHeight="1" s="290">
      <c r="A50" s="380" t="n">
        <v>166</v>
      </c>
      <c r="B50" s="438" t="inlineStr">
        <is>
          <t>Cocos (Keeling) Islands</t>
        </is>
      </c>
      <c r="C50" s="380" t="inlineStr">
        <is>
          <t>CC</t>
        </is>
      </c>
      <c r="E50" s="570" t="inlineStr">
        <is>
          <t>ETB</t>
        </is>
      </c>
    </row>
    <row r="51" ht="15" customHeight="1" s="290">
      <c r="A51" s="380" t="n">
        <v>170</v>
      </c>
      <c r="B51" s="438" t="inlineStr">
        <is>
          <t>Colombia</t>
        </is>
      </c>
      <c r="C51" s="380" t="inlineStr">
        <is>
          <t>CO</t>
        </is>
      </c>
      <c r="E51" s="570" t="inlineStr">
        <is>
          <t>EUR</t>
        </is>
      </c>
    </row>
    <row r="52" ht="15" customHeight="1" s="290">
      <c r="A52" s="380" t="n">
        <v>174</v>
      </c>
      <c r="B52" s="438" t="inlineStr">
        <is>
          <t>Comoros</t>
        </is>
      </c>
      <c r="C52" s="380" t="inlineStr">
        <is>
          <t>KM</t>
        </is>
      </c>
      <c r="E52" s="570" t="inlineStr">
        <is>
          <t>FJD</t>
        </is>
      </c>
    </row>
    <row r="53" ht="15" customHeight="1" s="290">
      <c r="A53" s="380" t="n">
        <v>178</v>
      </c>
      <c r="B53" s="438" t="inlineStr">
        <is>
          <t>Congo</t>
        </is>
      </c>
      <c r="C53" s="380" t="inlineStr">
        <is>
          <t>CG</t>
        </is>
      </c>
      <c r="E53" s="570" t="inlineStr">
        <is>
          <t>FKP</t>
        </is>
      </c>
    </row>
    <row r="54" ht="15" customHeight="1" s="290">
      <c r="A54" s="380" t="n">
        <v>180</v>
      </c>
      <c r="B54" s="438" t="inlineStr">
        <is>
          <t>Congo, the Democratic Republic of the</t>
        </is>
      </c>
      <c r="C54" s="380" t="inlineStr">
        <is>
          <t>CD</t>
        </is>
      </c>
      <c r="E54" s="570" t="inlineStr">
        <is>
          <t>GBP</t>
        </is>
      </c>
    </row>
    <row r="55" ht="15" customHeight="1" s="290">
      <c r="A55" s="380" t="n">
        <v>184</v>
      </c>
      <c r="B55" s="438" t="inlineStr">
        <is>
          <t>Cook Islands</t>
        </is>
      </c>
      <c r="C55" s="380" t="inlineStr">
        <is>
          <t>CK</t>
        </is>
      </c>
      <c r="E55" s="570" t="inlineStr">
        <is>
          <t>GEL</t>
        </is>
      </c>
    </row>
    <row r="56" ht="15" customHeight="1" s="290">
      <c r="A56" s="380" t="n">
        <v>188</v>
      </c>
      <c r="B56" s="438" t="inlineStr">
        <is>
          <t>Costa Rica</t>
        </is>
      </c>
      <c r="C56" s="380" t="inlineStr">
        <is>
          <t>CR</t>
        </is>
      </c>
      <c r="E56" s="570" t="inlineStr">
        <is>
          <t>GHS</t>
        </is>
      </c>
    </row>
    <row r="57" ht="15" customHeight="1" s="290">
      <c r="A57" s="380" t="n">
        <v>384</v>
      </c>
      <c r="B57" s="438" t="inlineStr">
        <is>
          <t>Côte d'Ivoire</t>
        </is>
      </c>
      <c r="C57" s="380" t="inlineStr">
        <is>
          <t>CI</t>
        </is>
      </c>
      <c r="E57" s="570" t="inlineStr">
        <is>
          <t>GIP</t>
        </is>
      </c>
    </row>
    <row r="58" ht="15" customHeight="1" s="290">
      <c r="A58" s="380" t="n">
        <v>191</v>
      </c>
      <c r="B58" s="438" t="inlineStr">
        <is>
          <t>Croatia</t>
        </is>
      </c>
      <c r="C58" s="380" t="inlineStr">
        <is>
          <t>HR</t>
        </is>
      </c>
      <c r="E58" s="570" t="inlineStr">
        <is>
          <t>GMD</t>
        </is>
      </c>
    </row>
    <row r="59" ht="15" customHeight="1" s="290">
      <c r="A59" s="380" t="n">
        <v>192</v>
      </c>
      <c r="B59" s="438" t="inlineStr">
        <is>
          <t>Cuba</t>
        </is>
      </c>
      <c r="C59" s="380" t="inlineStr">
        <is>
          <t>CU</t>
        </is>
      </c>
      <c r="E59" s="570" t="inlineStr">
        <is>
          <t>GNF</t>
        </is>
      </c>
    </row>
    <row r="60" ht="15" customHeight="1" s="290">
      <c r="A60" s="380" t="n">
        <v>531</v>
      </c>
      <c r="B60" s="438" t="inlineStr">
        <is>
          <t>Curaçao</t>
        </is>
      </c>
      <c r="C60" s="380" t="inlineStr">
        <is>
          <t>CW</t>
        </is>
      </c>
      <c r="E60" s="570" t="inlineStr">
        <is>
          <t>GTQ</t>
        </is>
      </c>
    </row>
    <row r="61" ht="15" customHeight="1" s="290">
      <c r="A61" s="380" t="n">
        <v>196</v>
      </c>
      <c r="B61" s="438" t="inlineStr">
        <is>
          <t>Cyprus</t>
        </is>
      </c>
      <c r="C61" s="380" t="inlineStr">
        <is>
          <t>CY</t>
        </is>
      </c>
      <c r="E61" s="570" t="inlineStr">
        <is>
          <t>GYD</t>
        </is>
      </c>
    </row>
    <row r="62" ht="15" customHeight="1" s="290">
      <c r="A62" s="380" t="n">
        <v>203</v>
      </c>
      <c r="B62" s="438" t="inlineStr">
        <is>
          <t>Czech Republic</t>
        </is>
      </c>
      <c r="C62" s="380" t="inlineStr">
        <is>
          <t>CZ</t>
        </is>
      </c>
      <c r="E62" s="570" t="inlineStr">
        <is>
          <t>HKD</t>
        </is>
      </c>
    </row>
    <row r="63" ht="15" customHeight="1" s="290">
      <c r="A63" s="380" t="n">
        <v>208</v>
      </c>
      <c r="B63" s="438" t="inlineStr">
        <is>
          <t>Denmark</t>
        </is>
      </c>
      <c r="C63" s="380" t="inlineStr">
        <is>
          <t>DK</t>
        </is>
      </c>
      <c r="E63" s="570" t="inlineStr">
        <is>
          <t>HNL</t>
        </is>
      </c>
    </row>
    <row r="64" ht="15" customHeight="1" s="290">
      <c r="A64" s="380" t="n">
        <v>262</v>
      </c>
      <c r="B64" s="438" t="inlineStr">
        <is>
          <t>Djibouti</t>
        </is>
      </c>
      <c r="C64" s="380" t="inlineStr">
        <is>
          <t>DJ</t>
        </is>
      </c>
      <c r="E64" s="570" t="inlineStr">
        <is>
          <t>HRK</t>
        </is>
      </c>
    </row>
    <row r="65" ht="15" customHeight="1" s="290">
      <c r="A65" s="380" t="n">
        <v>212</v>
      </c>
      <c r="B65" s="438" t="inlineStr">
        <is>
          <t>Dominica</t>
        </is>
      </c>
      <c r="C65" s="380" t="inlineStr">
        <is>
          <t>DM</t>
        </is>
      </c>
      <c r="E65" s="570" t="inlineStr">
        <is>
          <t>HTG</t>
        </is>
      </c>
    </row>
    <row r="66" ht="15" customHeight="1" s="290">
      <c r="A66" s="380" t="n">
        <v>214</v>
      </c>
      <c r="B66" s="438" t="inlineStr">
        <is>
          <t>Dominican Republic</t>
        </is>
      </c>
      <c r="C66" s="380" t="inlineStr">
        <is>
          <t>DO</t>
        </is>
      </c>
      <c r="E66" s="570" t="inlineStr">
        <is>
          <t>HUF</t>
        </is>
      </c>
    </row>
    <row r="67" ht="15" customHeight="1" s="290">
      <c r="A67" s="380" t="n">
        <v>218</v>
      </c>
      <c r="B67" s="438" t="inlineStr">
        <is>
          <t>Ecuador</t>
        </is>
      </c>
      <c r="C67" s="380" t="inlineStr">
        <is>
          <t>EC</t>
        </is>
      </c>
      <c r="E67" s="570" t="inlineStr">
        <is>
          <t>IDR</t>
        </is>
      </c>
    </row>
    <row r="68" ht="15" customHeight="1" s="290">
      <c r="A68" s="380" t="n">
        <v>818</v>
      </c>
      <c r="B68" s="438" t="inlineStr">
        <is>
          <t>Egypt</t>
        </is>
      </c>
      <c r="C68" s="380" t="inlineStr">
        <is>
          <t>EG</t>
        </is>
      </c>
      <c r="E68" s="570" t="inlineStr">
        <is>
          <t>ILS</t>
        </is>
      </c>
    </row>
    <row r="69" ht="15" customHeight="1" s="290">
      <c r="A69" s="380" t="n">
        <v>222</v>
      </c>
      <c r="B69" s="438" t="inlineStr">
        <is>
          <t>El Salvador</t>
        </is>
      </c>
      <c r="C69" s="380" t="inlineStr">
        <is>
          <t>SV</t>
        </is>
      </c>
      <c r="E69" s="570" t="inlineStr">
        <is>
          <t>INR</t>
        </is>
      </c>
    </row>
    <row r="70" ht="15" customHeight="1" s="290">
      <c r="A70" s="380" t="n">
        <v>226</v>
      </c>
      <c r="B70" s="438" t="inlineStr">
        <is>
          <t>Equatorial Guinea</t>
        </is>
      </c>
      <c r="C70" s="380" t="inlineStr">
        <is>
          <t>GQ</t>
        </is>
      </c>
      <c r="E70" s="570" t="inlineStr">
        <is>
          <t>IQD</t>
        </is>
      </c>
    </row>
    <row r="71" ht="15" customHeight="1" s="290">
      <c r="A71" s="380" t="n">
        <v>232</v>
      </c>
      <c r="B71" s="438" t="inlineStr">
        <is>
          <t>Eritrea</t>
        </is>
      </c>
      <c r="C71" s="380" t="inlineStr">
        <is>
          <t>ER</t>
        </is>
      </c>
      <c r="E71" s="570" t="inlineStr">
        <is>
          <t>IRR</t>
        </is>
      </c>
    </row>
    <row r="72" ht="15" customHeight="1" s="290">
      <c r="A72" s="380" t="n">
        <v>233</v>
      </c>
      <c r="B72" s="438" t="inlineStr">
        <is>
          <t>Estonia</t>
        </is>
      </c>
      <c r="C72" s="380" t="inlineStr">
        <is>
          <t>EE</t>
        </is>
      </c>
      <c r="E72" s="570" t="inlineStr">
        <is>
          <t>ISK</t>
        </is>
      </c>
    </row>
    <row r="73" ht="15" customHeight="1" s="290">
      <c r="A73" s="380" t="n">
        <v>231</v>
      </c>
      <c r="B73" s="438" t="inlineStr">
        <is>
          <t>Ethiopia</t>
        </is>
      </c>
      <c r="C73" s="380" t="inlineStr">
        <is>
          <t>ET</t>
        </is>
      </c>
      <c r="E73" s="570" t="inlineStr">
        <is>
          <t>JMD</t>
        </is>
      </c>
    </row>
    <row r="74" ht="15" customHeight="1" s="290">
      <c r="A74" s="380" t="n">
        <v>238</v>
      </c>
      <c r="B74" s="438" t="inlineStr">
        <is>
          <t>Falkland Islands (Malvinas)</t>
        </is>
      </c>
      <c r="C74" s="380" t="inlineStr">
        <is>
          <t>FK</t>
        </is>
      </c>
      <c r="E74" s="570" t="inlineStr">
        <is>
          <t>JOD</t>
        </is>
      </c>
    </row>
    <row r="75" ht="15" customHeight="1" s="290">
      <c r="A75" s="380" t="n">
        <v>234</v>
      </c>
      <c r="B75" s="438" t="inlineStr">
        <is>
          <t>Faroe Islands</t>
        </is>
      </c>
      <c r="C75" s="380" t="inlineStr">
        <is>
          <t>FO</t>
        </is>
      </c>
      <c r="E75" s="570" t="inlineStr">
        <is>
          <t>JPY</t>
        </is>
      </c>
    </row>
    <row r="76" ht="15" customHeight="1" s="290">
      <c r="A76" s="380" t="n">
        <v>242</v>
      </c>
      <c r="B76" s="438" t="inlineStr">
        <is>
          <t>Fiji</t>
        </is>
      </c>
      <c r="C76" s="380" t="inlineStr">
        <is>
          <t>FJ</t>
        </is>
      </c>
      <c r="E76" s="570" t="inlineStr">
        <is>
          <t>KES</t>
        </is>
      </c>
    </row>
    <row r="77" ht="15" customHeight="1" s="290">
      <c r="A77" s="380" t="n">
        <v>246</v>
      </c>
      <c r="B77" s="438" t="inlineStr">
        <is>
          <t>Finland</t>
        </is>
      </c>
      <c r="C77" s="380" t="inlineStr">
        <is>
          <t>FI</t>
        </is>
      </c>
      <c r="E77" s="570" t="inlineStr">
        <is>
          <t>KGS</t>
        </is>
      </c>
    </row>
    <row r="78" ht="15" customHeight="1" s="290">
      <c r="A78" s="380" t="n">
        <v>250</v>
      </c>
      <c r="B78" s="438" t="inlineStr">
        <is>
          <t>France</t>
        </is>
      </c>
      <c r="C78" s="380" t="inlineStr">
        <is>
          <t>FR</t>
        </is>
      </c>
      <c r="E78" s="570" t="inlineStr">
        <is>
          <t>KHR</t>
        </is>
      </c>
    </row>
    <row r="79" ht="15" customHeight="1" s="290">
      <c r="A79" s="380" t="n">
        <v>254</v>
      </c>
      <c r="B79" s="438" t="inlineStr">
        <is>
          <t>French Guiana</t>
        </is>
      </c>
      <c r="C79" s="380" t="inlineStr">
        <is>
          <t>GF</t>
        </is>
      </c>
      <c r="E79" s="570" t="inlineStr">
        <is>
          <t>KMF</t>
        </is>
      </c>
    </row>
    <row r="80" ht="15" customHeight="1" s="290">
      <c r="A80" s="380" t="n">
        <v>258</v>
      </c>
      <c r="B80" s="438" t="inlineStr">
        <is>
          <t>French Polynesia</t>
        </is>
      </c>
      <c r="C80" s="380" t="inlineStr">
        <is>
          <t>PF</t>
        </is>
      </c>
      <c r="E80" s="570" t="inlineStr">
        <is>
          <t>KPW</t>
        </is>
      </c>
    </row>
    <row r="81" ht="15" customHeight="1" s="290">
      <c r="A81" s="380" t="n">
        <v>260</v>
      </c>
      <c r="B81" s="438" t="inlineStr">
        <is>
          <t>French Southern Territories</t>
        </is>
      </c>
      <c r="C81" s="380" t="inlineStr">
        <is>
          <t>TF</t>
        </is>
      </c>
      <c r="E81" s="570" t="inlineStr">
        <is>
          <t>KRW</t>
        </is>
      </c>
    </row>
    <row r="82" ht="15" customHeight="1" s="290">
      <c r="A82" s="380" t="n">
        <v>266</v>
      </c>
      <c r="B82" s="438" t="inlineStr">
        <is>
          <t>Gabon</t>
        </is>
      </c>
      <c r="C82" s="380" t="inlineStr">
        <is>
          <t>GA</t>
        </is>
      </c>
      <c r="E82" s="570" t="inlineStr">
        <is>
          <t>KWD</t>
        </is>
      </c>
    </row>
    <row r="83" ht="15" customHeight="1" s="290">
      <c r="A83" s="380" t="n">
        <v>270</v>
      </c>
      <c r="B83" s="438" t="inlineStr">
        <is>
          <t>Gambia</t>
        </is>
      </c>
      <c r="C83" s="380" t="inlineStr">
        <is>
          <t>GM</t>
        </is>
      </c>
      <c r="E83" s="570" t="inlineStr">
        <is>
          <t>KYD</t>
        </is>
      </c>
    </row>
    <row r="84" ht="15" customHeight="1" s="290">
      <c r="A84" s="380" t="n">
        <v>268</v>
      </c>
      <c r="B84" s="438" t="inlineStr">
        <is>
          <t>Georgia</t>
        </is>
      </c>
      <c r="C84" s="380" t="inlineStr">
        <is>
          <t>GE</t>
        </is>
      </c>
      <c r="E84" s="570" t="inlineStr">
        <is>
          <t>KZT</t>
        </is>
      </c>
    </row>
    <row r="85" ht="15" customHeight="1" s="290">
      <c r="A85" s="380" t="n">
        <v>276</v>
      </c>
      <c r="B85" s="438" t="inlineStr">
        <is>
          <t>Germany</t>
        </is>
      </c>
      <c r="C85" s="380" t="inlineStr">
        <is>
          <t>DE</t>
        </is>
      </c>
      <c r="E85" s="570" t="inlineStr">
        <is>
          <t>LAK</t>
        </is>
      </c>
    </row>
    <row r="86" ht="15" customHeight="1" s="290">
      <c r="A86" s="380" t="n">
        <v>288</v>
      </c>
      <c r="B86" s="438" t="inlineStr">
        <is>
          <t>Ghana</t>
        </is>
      </c>
      <c r="C86" s="380" t="inlineStr">
        <is>
          <t>GH</t>
        </is>
      </c>
      <c r="E86" s="570" t="inlineStr">
        <is>
          <t>LBP</t>
        </is>
      </c>
    </row>
    <row r="87" ht="15" customHeight="1" s="290">
      <c r="A87" s="380" t="n">
        <v>292</v>
      </c>
      <c r="B87" s="438" t="inlineStr">
        <is>
          <t>Gibraltar</t>
        </is>
      </c>
      <c r="C87" s="380" t="inlineStr">
        <is>
          <t>GI</t>
        </is>
      </c>
      <c r="E87" s="570" t="inlineStr">
        <is>
          <t>LKR</t>
        </is>
      </c>
    </row>
    <row r="88" ht="15" customHeight="1" s="290">
      <c r="A88" s="380" t="n">
        <v>300</v>
      </c>
      <c r="B88" s="438" t="inlineStr">
        <is>
          <t>Greece</t>
        </is>
      </c>
      <c r="C88" s="380" t="inlineStr">
        <is>
          <t>GR</t>
        </is>
      </c>
      <c r="E88" s="570" t="inlineStr">
        <is>
          <t>LRD</t>
        </is>
      </c>
    </row>
    <row r="89" ht="15" customHeight="1" s="290">
      <c r="A89" s="380" t="n">
        <v>304</v>
      </c>
      <c r="B89" s="438" t="inlineStr">
        <is>
          <t>Greenland</t>
        </is>
      </c>
      <c r="C89" s="380" t="inlineStr">
        <is>
          <t>GL</t>
        </is>
      </c>
      <c r="E89" s="570" t="inlineStr">
        <is>
          <t>LSL</t>
        </is>
      </c>
    </row>
    <row r="90" ht="15" customHeight="1" s="290">
      <c r="A90" s="380" t="n">
        <v>308</v>
      </c>
      <c r="B90" s="438" t="inlineStr">
        <is>
          <t>Grenada</t>
        </is>
      </c>
      <c r="C90" s="380" t="inlineStr">
        <is>
          <t>GD</t>
        </is>
      </c>
      <c r="E90" s="570" t="inlineStr">
        <is>
          <t>LTL</t>
        </is>
      </c>
    </row>
    <row r="91" ht="15" customHeight="1" s="290">
      <c r="A91" s="380" t="n">
        <v>312</v>
      </c>
      <c r="B91" s="438" t="inlineStr">
        <is>
          <t>Guadeloupe</t>
        </is>
      </c>
      <c r="C91" s="380" t="inlineStr">
        <is>
          <t>GP</t>
        </is>
      </c>
      <c r="E91" s="570" t="inlineStr">
        <is>
          <t>LVL</t>
        </is>
      </c>
    </row>
    <row r="92" ht="15" customHeight="1" s="290">
      <c r="A92" s="380" t="n">
        <v>316</v>
      </c>
      <c r="B92" s="438" t="inlineStr">
        <is>
          <t>Guam</t>
        </is>
      </c>
      <c r="C92" s="380" t="inlineStr">
        <is>
          <t>GU</t>
        </is>
      </c>
      <c r="E92" s="570" t="inlineStr">
        <is>
          <t>LYD</t>
        </is>
      </c>
    </row>
    <row r="93" ht="15" customHeight="1" s="290">
      <c r="A93" s="380" t="n">
        <v>320</v>
      </c>
      <c r="B93" s="438" t="inlineStr">
        <is>
          <t>Guatemala</t>
        </is>
      </c>
      <c r="C93" s="380" t="inlineStr">
        <is>
          <t>GT</t>
        </is>
      </c>
      <c r="E93" s="570" t="inlineStr">
        <is>
          <t>MAD</t>
        </is>
      </c>
    </row>
    <row r="94" ht="15" customHeight="1" s="290">
      <c r="A94" s="380" t="n">
        <v>831</v>
      </c>
      <c r="B94" s="438" t="inlineStr">
        <is>
          <t>Guernsey</t>
        </is>
      </c>
      <c r="C94" s="380" t="inlineStr">
        <is>
          <t>GG</t>
        </is>
      </c>
      <c r="E94" s="570" t="inlineStr">
        <is>
          <t>MDL</t>
        </is>
      </c>
    </row>
    <row r="95" ht="15" customHeight="1" s="290">
      <c r="A95" s="380" t="n">
        <v>324</v>
      </c>
      <c r="B95" s="438" t="inlineStr">
        <is>
          <t>Guinea</t>
        </is>
      </c>
      <c r="C95" s="380" t="inlineStr">
        <is>
          <t>GN</t>
        </is>
      </c>
      <c r="E95" s="570" t="inlineStr">
        <is>
          <t>MGA</t>
        </is>
      </c>
    </row>
    <row r="96" ht="15" customHeight="1" s="290">
      <c r="A96" s="380" t="n">
        <v>624</v>
      </c>
      <c r="B96" s="438" t="inlineStr">
        <is>
          <t>Guinea-Bissau</t>
        </is>
      </c>
      <c r="C96" s="380" t="inlineStr">
        <is>
          <t>GW</t>
        </is>
      </c>
      <c r="E96" s="570" t="inlineStr">
        <is>
          <t>MKD</t>
        </is>
      </c>
    </row>
    <row r="97" ht="15" customHeight="1" s="290">
      <c r="A97" s="380" t="n">
        <v>328</v>
      </c>
      <c r="B97" s="438" t="inlineStr">
        <is>
          <t>Guyana</t>
        </is>
      </c>
      <c r="C97" s="380" t="inlineStr">
        <is>
          <t>GY</t>
        </is>
      </c>
      <c r="E97" s="570" t="inlineStr">
        <is>
          <t>MMK</t>
        </is>
      </c>
    </row>
    <row r="98" ht="15" customHeight="1" s="290">
      <c r="A98" s="380" t="n">
        <v>332</v>
      </c>
      <c r="B98" s="438" t="inlineStr">
        <is>
          <t>Haiti</t>
        </is>
      </c>
      <c r="C98" s="380" t="inlineStr">
        <is>
          <t>HT</t>
        </is>
      </c>
      <c r="E98" s="570" t="inlineStr">
        <is>
          <t>MNT</t>
        </is>
      </c>
    </row>
    <row r="99" ht="15" customHeight="1" s="290">
      <c r="A99" s="380" t="n">
        <v>334</v>
      </c>
      <c r="B99" s="438" t="inlineStr">
        <is>
          <t>Heard Island and McDonald Islands</t>
        </is>
      </c>
      <c r="C99" s="380" t="inlineStr">
        <is>
          <t>HM</t>
        </is>
      </c>
      <c r="E99" s="570" t="inlineStr">
        <is>
          <t>MOP</t>
        </is>
      </c>
    </row>
    <row r="100" ht="15" customHeight="1" s="290">
      <c r="A100" s="380" t="n">
        <v>336</v>
      </c>
      <c r="B100" s="438" t="inlineStr">
        <is>
          <t>Holy See (Vatican City State)</t>
        </is>
      </c>
      <c r="C100" s="380" t="inlineStr">
        <is>
          <t>VA</t>
        </is>
      </c>
      <c r="E100" s="570" t="inlineStr">
        <is>
          <t>MRO</t>
        </is>
      </c>
    </row>
    <row r="101" ht="15" customHeight="1" s="290">
      <c r="A101" s="380" t="n">
        <v>340</v>
      </c>
      <c r="B101" s="438" t="inlineStr">
        <is>
          <t>Honduras</t>
        </is>
      </c>
      <c r="C101" s="380" t="inlineStr">
        <is>
          <t>HN</t>
        </is>
      </c>
      <c r="E101" s="570" t="inlineStr">
        <is>
          <t>MUR</t>
        </is>
      </c>
    </row>
    <row r="102" ht="15" customHeight="1" s="290">
      <c r="A102" s="380" t="n">
        <v>344</v>
      </c>
      <c r="B102" s="438" t="inlineStr">
        <is>
          <t>Hong Kong</t>
        </is>
      </c>
      <c r="C102" s="380" t="inlineStr">
        <is>
          <t>HK</t>
        </is>
      </c>
      <c r="E102" s="570" t="inlineStr">
        <is>
          <t>MVR</t>
        </is>
      </c>
    </row>
    <row r="103" ht="15" customHeight="1" s="290">
      <c r="A103" s="380" t="n">
        <v>348</v>
      </c>
      <c r="B103" s="438" t="inlineStr">
        <is>
          <t>Hungary</t>
        </is>
      </c>
      <c r="C103" s="380" t="inlineStr">
        <is>
          <t>HU</t>
        </is>
      </c>
      <c r="E103" s="570" t="inlineStr">
        <is>
          <t>MWK</t>
        </is>
      </c>
    </row>
    <row r="104" ht="15" customHeight="1" s="290">
      <c r="A104" s="380" t="n">
        <v>352</v>
      </c>
      <c r="B104" s="438" t="inlineStr">
        <is>
          <t>Iceland</t>
        </is>
      </c>
      <c r="C104" s="380" t="inlineStr">
        <is>
          <t>IS</t>
        </is>
      </c>
      <c r="E104" s="570" t="inlineStr">
        <is>
          <t>MXN</t>
        </is>
      </c>
    </row>
    <row r="105" ht="15" customHeight="1" s="290">
      <c r="A105" s="380" t="n">
        <v>356</v>
      </c>
      <c r="B105" s="438" t="inlineStr">
        <is>
          <t>India</t>
        </is>
      </c>
      <c r="C105" s="380" t="inlineStr">
        <is>
          <t>IN</t>
        </is>
      </c>
      <c r="E105" s="570" t="inlineStr">
        <is>
          <t>MXV</t>
        </is>
      </c>
    </row>
    <row r="106" ht="15" customHeight="1" s="290">
      <c r="A106" s="380" t="n">
        <v>360</v>
      </c>
      <c r="B106" s="438" t="inlineStr">
        <is>
          <t>Indonesia</t>
        </is>
      </c>
      <c r="C106" s="380" t="inlineStr">
        <is>
          <t>ID</t>
        </is>
      </c>
      <c r="E106" s="570" t="inlineStr">
        <is>
          <t>MYR</t>
        </is>
      </c>
    </row>
    <row r="107" ht="15" customHeight="1" s="290">
      <c r="A107" s="380" t="n">
        <v>364</v>
      </c>
      <c r="B107" s="438" t="inlineStr">
        <is>
          <t>Iran, Islamic Republic of</t>
        </is>
      </c>
      <c r="C107" s="380" t="inlineStr">
        <is>
          <t>IR</t>
        </is>
      </c>
      <c r="E107" s="570" t="inlineStr">
        <is>
          <t>MZN</t>
        </is>
      </c>
    </row>
    <row r="108" ht="15" customHeight="1" s="290">
      <c r="A108" s="380" t="n">
        <v>368</v>
      </c>
      <c r="B108" s="438" t="inlineStr">
        <is>
          <t>Iraq</t>
        </is>
      </c>
      <c r="C108" s="380" t="inlineStr">
        <is>
          <t>IQ</t>
        </is>
      </c>
      <c r="E108" s="570" t="inlineStr">
        <is>
          <t>NAD</t>
        </is>
      </c>
    </row>
    <row r="109" ht="15" customHeight="1" s="290">
      <c r="A109" s="380" t="n">
        <v>372</v>
      </c>
      <c r="B109" s="438" t="inlineStr">
        <is>
          <t>Ireland</t>
        </is>
      </c>
      <c r="C109" s="380" t="inlineStr">
        <is>
          <t>IE</t>
        </is>
      </c>
      <c r="E109" s="570" t="inlineStr">
        <is>
          <t>NGN</t>
        </is>
      </c>
    </row>
    <row r="110" ht="15" customHeight="1" s="290">
      <c r="A110" s="380" t="n">
        <v>833</v>
      </c>
      <c r="B110" s="438" t="inlineStr">
        <is>
          <t>Isle of Man</t>
        </is>
      </c>
      <c r="C110" s="380" t="inlineStr">
        <is>
          <t>IM</t>
        </is>
      </c>
      <c r="E110" s="570" t="inlineStr">
        <is>
          <t>NIO</t>
        </is>
      </c>
    </row>
    <row r="111" ht="15" customHeight="1" s="290">
      <c r="A111" s="380" t="n">
        <v>376</v>
      </c>
      <c r="B111" s="438" t="inlineStr">
        <is>
          <t>Israel</t>
        </is>
      </c>
      <c r="C111" s="380" t="inlineStr">
        <is>
          <t>IL</t>
        </is>
      </c>
      <c r="E111" s="570" t="inlineStr">
        <is>
          <t>NOK</t>
        </is>
      </c>
    </row>
    <row r="112" ht="15" customHeight="1" s="290">
      <c r="A112" s="380" t="n">
        <v>380</v>
      </c>
      <c r="B112" s="438" t="inlineStr">
        <is>
          <t>Italy</t>
        </is>
      </c>
      <c r="C112" s="380" t="inlineStr">
        <is>
          <t>IT</t>
        </is>
      </c>
      <c r="E112" s="570" t="inlineStr">
        <is>
          <t>NPR</t>
        </is>
      </c>
    </row>
    <row r="113" ht="15" customHeight="1" s="290">
      <c r="A113" s="380" t="n">
        <v>388</v>
      </c>
      <c r="B113" s="438" t="inlineStr">
        <is>
          <t>Jamaica</t>
        </is>
      </c>
      <c r="C113" s="380" t="inlineStr">
        <is>
          <t>JM</t>
        </is>
      </c>
      <c r="E113" s="570" t="inlineStr">
        <is>
          <t>NZD</t>
        </is>
      </c>
    </row>
    <row r="114" ht="15" customHeight="1" s="290">
      <c r="A114" s="380" t="n">
        <v>392</v>
      </c>
      <c r="B114" s="438" t="inlineStr">
        <is>
          <t>Japan</t>
        </is>
      </c>
      <c r="C114" s="380" t="inlineStr">
        <is>
          <t>JP</t>
        </is>
      </c>
      <c r="E114" s="570" t="inlineStr">
        <is>
          <t>OMR</t>
        </is>
      </c>
    </row>
    <row r="115" ht="15" customHeight="1" s="290">
      <c r="A115" s="380" t="n">
        <v>832</v>
      </c>
      <c r="B115" s="438" t="inlineStr">
        <is>
          <t>Jersey</t>
        </is>
      </c>
      <c r="C115" s="380" t="inlineStr">
        <is>
          <t>JE</t>
        </is>
      </c>
      <c r="E115" s="570" t="inlineStr">
        <is>
          <t>PAB</t>
        </is>
      </c>
    </row>
    <row r="116" ht="15" customHeight="1" s="290">
      <c r="A116" s="380" t="n">
        <v>400</v>
      </c>
      <c r="B116" s="438" t="inlineStr">
        <is>
          <t>Jordan</t>
        </is>
      </c>
      <c r="C116" s="380" t="inlineStr">
        <is>
          <t>JO</t>
        </is>
      </c>
      <c r="E116" s="570" t="inlineStr">
        <is>
          <t>PEN</t>
        </is>
      </c>
    </row>
    <row r="117" ht="15" customHeight="1" s="290">
      <c r="A117" s="380" t="n">
        <v>398</v>
      </c>
      <c r="B117" s="438" t="inlineStr">
        <is>
          <t>Kazakhstan</t>
        </is>
      </c>
      <c r="C117" s="380" t="inlineStr">
        <is>
          <t>KZ</t>
        </is>
      </c>
      <c r="E117" s="570" t="inlineStr">
        <is>
          <t>PGK</t>
        </is>
      </c>
    </row>
    <row r="118" ht="15" customHeight="1" s="290">
      <c r="A118" s="380" t="n">
        <v>404</v>
      </c>
      <c r="B118" s="438" t="inlineStr">
        <is>
          <t>Kenya</t>
        </is>
      </c>
      <c r="C118" s="380" t="inlineStr">
        <is>
          <t>KE</t>
        </is>
      </c>
      <c r="E118" s="570" t="inlineStr">
        <is>
          <t>PHP</t>
        </is>
      </c>
    </row>
    <row r="119" ht="15" customHeight="1" s="290">
      <c r="A119" s="380" t="n">
        <v>296</v>
      </c>
      <c r="B119" s="438" t="inlineStr">
        <is>
          <t>Kiribati</t>
        </is>
      </c>
      <c r="C119" s="380" t="inlineStr">
        <is>
          <t>KI</t>
        </is>
      </c>
      <c r="E119" s="570" t="inlineStr">
        <is>
          <t>PKR</t>
        </is>
      </c>
    </row>
    <row r="120" ht="15" customHeight="1" s="290">
      <c r="A120" s="380" t="n">
        <v>408</v>
      </c>
      <c r="B120" s="438" t="inlineStr">
        <is>
          <t>Korea, Democratic People's Republic of</t>
        </is>
      </c>
      <c r="C120" s="380" t="inlineStr">
        <is>
          <t>KP</t>
        </is>
      </c>
      <c r="E120" s="570" t="inlineStr">
        <is>
          <t>PLN</t>
        </is>
      </c>
    </row>
    <row r="121" ht="15" customHeight="1" s="290">
      <c r="A121" s="380" t="n">
        <v>410</v>
      </c>
      <c r="B121" s="438" t="inlineStr">
        <is>
          <t>Korea, Republic of</t>
        </is>
      </c>
      <c r="C121" s="380" t="inlineStr">
        <is>
          <t>KR</t>
        </is>
      </c>
      <c r="E121" s="570" t="inlineStr">
        <is>
          <t>PYG</t>
        </is>
      </c>
    </row>
    <row r="122" ht="15" customHeight="1" s="290">
      <c r="A122" s="380" t="n">
        <v>414</v>
      </c>
      <c r="B122" s="438" t="inlineStr">
        <is>
          <t>Kuwait</t>
        </is>
      </c>
      <c r="C122" s="380" t="inlineStr">
        <is>
          <t>KW</t>
        </is>
      </c>
      <c r="E122" s="570" t="inlineStr">
        <is>
          <t>QAR</t>
        </is>
      </c>
    </row>
    <row r="123" ht="15" customHeight="1" s="290">
      <c r="A123" s="380" t="n">
        <v>417</v>
      </c>
      <c r="B123" s="438" t="inlineStr">
        <is>
          <t>Kyrgyzstan</t>
        </is>
      </c>
      <c r="C123" s="380" t="inlineStr">
        <is>
          <t>KG</t>
        </is>
      </c>
      <c r="E123" s="570" t="inlineStr">
        <is>
          <t>RON</t>
        </is>
      </c>
    </row>
    <row r="124" ht="15" customHeight="1" s="290">
      <c r="A124" s="380" t="n">
        <v>418</v>
      </c>
      <c r="B124" s="438" t="inlineStr">
        <is>
          <t>Lao People's Democratic Republic</t>
        </is>
      </c>
      <c r="C124" s="380" t="inlineStr">
        <is>
          <t>LA</t>
        </is>
      </c>
      <c r="E124" s="570" t="inlineStr">
        <is>
          <t>RSD</t>
        </is>
      </c>
    </row>
    <row r="125" ht="15" customHeight="1" s="290">
      <c r="A125" s="380" t="n">
        <v>428</v>
      </c>
      <c r="B125" s="438" t="inlineStr">
        <is>
          <t>Latvia</t>
        </is>
      </c>
      <c r="C125" s="380" t="inlineStr">
        <is>
          <t>LV</t>
        </is>
      </c>
      <c r="E125" s="570" t="inlineStr">
        <is>
          <t>RUB</t>
        </is>
      </c>
    </row>
    <row r="126" ht="15" customHeight="1" s="290">
      <c r="A126" s="380" t="n">
        <v>422</v>
      </c>
      <c r="B126" s="438" t="inlineStr">
        <is>
          <t>Lebanon</t>
        </is>
      </c>
      <c r="C126" s="380" t="inlineStr">
        <is>
          <t>LB</t>
        </is>
      </c>
      <c r="E126" s="570" t="inlineStr">
        <is>
          <t>RWF</t>
        </is>
      </c>
    </row>
    <row r="127" ht="15" customHeight="1" s="290">
      <c r="A127" s="380" t="n">
        <v>426</v>
      </c>
      <c r="B127" s="438" t="inlineStr">
        <is>
          <t>Lesotho</t>
        </is>
      </c>
      <c r="C127" s="380" t="inlineStr">
        <is>
          <t>LS</t>
        </is>
      </c>
      <c r="E127" s="570" t="inlineStr">
        <is>
          <t>SAR</t>
        </is>
      </c>
    </row>
    <row r="128" ht="15" customHeight="1" s="290">
      <c r="A128" s="380" t="n">
        <v>430</v>
      </c>
      <c r="B128" s="438" t="inlineStr">
        <is>
          <t>Liberia</t>
        </is>
      </c>
      <c r="C128" s="380" t="inlineStr">
        <is>
          <t>LR</t>
        </is>
      </c>
      <c r="E128" s="570" t="inlineStr">
        <is>
          <t>SBD</t>
        </is>
      </c>
    </row>
    <row r="129" ht="15" customHeight="1" s="290">
      <c r="A129" s="380" t="n">
        <v>434</v>
      </c>
      <c r="B129" s="438" t="inlineStr">
        <is>
          <t>Libya</t>
        </is>
      </c>
      <c r="C129" s="380" t="inlineStr">
        <is>
          <t>LY</t>
        </is>
      </c>
      <c r="E129" s="570" t="inlineStr">
        <is>
          <t>SCR</t>
        </is>
      </c>
    </row>
    <row r="130" ht="15" customHeight="1" s="290">
      <c r="A130" s="380" t="n">
        <v>438</v>
      </c>
      <c r="B130" s="438" t="inlineStr">
        <is>
          <t>Liechtenstein</t>
        </is>
      </c>
      <c r="C130" s="380" t="inlineStr">
        <is>
          <t>LI</t>
        </is>
      </c>
      <c r="E130" s="570" t="inlineStr">
        <is>
          <t>SDG</t>
        </is>
      </c>
    </row>
    <row r="131" ht="15" customHeight="1" s="290">
      <c r="A131" s="380" t="n">
        <v>440</v>
      </c>
      <c r="B131" s="438" t="inlineStr">
        <is>
          <t>Lithuania</t>
        </is>
      </c>
      <c r="C131" s="380" t="inlineStr">
        <is>
          <t>LT</t>
        </is>
      </c>
      <c r="E131" s="570" t="inlineStr">
        <is>
          <t>SEK</t>
        </is>
      </c>
    </row>
    <row r="132" ht="15" customHeight="1" s="290">
      <c r="A132" s="380" t="n">
        <v>442</v>
      </c>
      <c r="B132" s="438" t="inlineStr">
        <is>
          <t>Luxembourg</t>
        </is>
      </c>
      <c r="C132" s="380" t="inlineStr">
        <is>
          <t>LU</t>
        </is>
      </c>
      <c r="E132" s="570" t="inlineStr">
        <is>
          <t>SGD</t>
        </is>
      </c>
    </row>
    <row r="133" ht="15" customHeight="1" s="290">
      <c r="A133" s="380" t="n">
        <v>446</v>
      </c>
      <c r="B133" s="438" t="inlineStr">
        <is>
          <t>Macao</t>
        </is>
      </c>
      <c r="C133" s="380" t="inlineStr">
        <is>
          <t>MO</t>
        </is>
      </c>
      <c r="E133" s="570" t="inlineStr">
        <is>
          <t>SHP</t>
        </is>
      </c>
    </row>
    <row r="134" ht="15" customHeight="1" s="290">
      <c r="A134" s="380" t="n">
        <v>807</v>
      </c>
      <c r="B134" s="438" t="inlineStr">
        <is>
          <t>Macedonia, the former Yugoslav Republic of</t>
        </is>
      </c>
      <c r="C134" s="380" t="inlineStr">
        <is>
          <t>MK</t>
        </is>
      </c>
      <c r="E134" s="570" t="inlineStr">
        <is>
          <t>SLL</t>
        </is>
      </c>
    </row>
    <row r="135" ht="15" customHeight="1" s="290">
      <c r="A135" s="380" t="n">
        <v>450</v>
      </c>
      <c r="B135" s="438" t="inlineStr">
        <is>
          <t>Madagascar</t>
        </is>
      </c>
      <c r="C135" s="380" t="inlineStr">
        <is>
          <t>MG</t>
        </is>
      </c>
      <c r="E135" s="570" t="inlineStr">
        <is>
          <t>SOS</t>
        </is>
      </c>
    </row>
    <row r="136" ht="15" customHeight="1" s="290">
      <c r="A136" s="380" t="n">
        <v>454</v>
      </c>
      <c r="B136" s="438" t="inlineStr">
        <is>
          <t>Malawi</t>
        </is>
      </c>
      <c r="C136" s="380" t="inlineStr">
        <is>
          <t>MW</t>
        </is>
      </c>
      <c r="E136" s="570" t="inlineStr">
        <is>
          <t>SRD</t>
        </is>
      </c>
    </row>
    <row r="137" ht="15" customHeight="1" s="290">
      <c r="A137" s="380" t="n">
        <v>458</v>
      </c>
      <c r="B137" s="438" t="inlineStr">
        <is>
          <t>Malaysia</t>
        </is>
      </c>
      <c r="C137" s="380" t="inlineStr">
        <is>
          <t>MY</t>
        </is>
      </c>
      <c r="E137" s="570" t="inlineStr">
        <is>
          <t>SSP</t>
        </is>
      </c>
    </row>
    <row r="138" ht="15" customHeight="1" s="290">
      <c r="A138" s="380" t="n">
        <v>462</v>
      </c>
      <c r="B138" s="438" t="inlineStr">
        <is>
          <t>Maldives</t>
        </is>
      </c>
      <c r="C138" s="380" t="inlineStr">
        <is>
          <t>MV</t>
        </is>
      </c>
      <c r="E138" s="570" t="inlineStr">
        <is>
          <t>STD</t>
        </is>
      </c>
    </row>
    <row r="139" ht="15" customHeight="1" s="290">
      <c r="A139" s="380" t="n">
        <v>466</v>
      </c>
      <c r="B139" s="438" t="inlineStr">
        <is>
          <t>Mali</t>
        </is>
      </c>
      <c r="C139" s="380" t="inlineStr">
        <is>
          <t>ML</t>
        </is>
      </c>
      <c r="E139" s="570" t="inlineStr">
        <is>
          <t>SYP</t>
        </is>
      </c>
    </row>
    <row r="140" ht="15" customHeight="1" s="290">
      <c r="A140" s="380" t="n">
        <v>470</v>
      </c>
      <c r="B140" s="438" t="inlineStr">
        <is>
          <t>Malta</t>
        </is>
      </c>
      <c r="C140" s="380" t="inlineStr">
        <is>
          <t>MT</t>
        </is>
      </c>
      <c r="E140" s="570" t="inlineStr">
        <is>
          <t>SZL</t>
        </is>
      </c>
    </row>
    <row r="141" ht="15" customHeight="1" s="290">
      <c r="A141" s="380" t="n">
        <v>584</v>
      </c>
      <c r="B141" s="438" t="inlineStr">
        <is>
          <t>Marshall Islands</t>
        </is>
      </c>
      <c r="C141" s="380" t="inlineStr">
        <is>
          <t>MH</t>
        </is>
      </c>
      <c r="E141" s="570" t="inlineStr">
        <is>
          <t>THB</t>
        </is>
      </c>
    </row>
    <row r="142" ht="15" customHeight="1" s="290">
      <c r="A142" s="380" t="n">
        <v>474</v>
      </c>
      <c r="B142" s="438" t="inlineStr">
        <is>
          <t>Martinique</t>
        </is>
      </c>
      <c r="C142" s="380" t="inlineStr">
        <is>
          <t>MQ</t>
        </is>
      </c>
      <c r="E142" s="570" t="inlineStr">
        <is>
          <t>TJS</t>
        </is>
      </c>
    </row>
    <row r="143" ht="15" customHeight="1" s="290">
      <c r="A143" s="380" t="n">
        <v>478</v>
      </c>
      <c r="B143" s="438" t="inlineStr">
        <is>
          <t>Mauritania</t>
        </is>
      </c>
      <c r="C143" s="380" t="inlineStr">
        <is>
          <t>MR</t>
        </is>
      </c>
      <c r="E143" s="570" t="inlineStr">
        <is>
          <t>TMT</t>
        </is>
      </c>
    </row>
    <row r="144" ht="15" customHeight="1" s="290">
      <c r="A144" s="380" t="n">
        <v>480</v>
      </c>
      <c r="B144" s="438" t="inlineStr">
        <is>
          <t>Mauritius</t>
        </is>
      </c>
      <c r="C144" s="380" t="inlineStr">
        <is>
          <t>MU</t>
        </is>
      </c>
      <c r="E144" s="570" t="inlineStr">
        <is>
          <t>TND</t>
        </is>
      </c>
    </row>
    <row r="145" ht="15" customHeight="1" s="290">
      <c r="A145" s="380" t="n">
        <v>175</v>
      </c>
      <c r="B145" s="438" t="inlineStr">
        <is>
          <t>Mayotte</t>
        </is>
      </c>
      <c r="C145" s="380" t="inlineStr">
        <is>
          <t>YT</t>
        </is>
      </c>
      <c r="E145" s="570" t="inlineStr">
        <is>
          <t>TOP</t>
        </is>
      </c>
    </row>
    <row r="146" ht="15" customHeight="1" s="290">
      <c r="A146" s="380" t="n">
        <v>484</v>
      </c>
      <c r="B146" s="438" t="inlineStr">
        <is>
          <t>Mexico</t>
        </is>
      </c>
      <c r="C146" s="380" t="inlineStr">
        <is>
          <t>MX</t>
        </is>
      </c>
      <c r="E146" s="570" t="inlineStr">
        <is>
          <t>TRY</t>
        </is>
      </c>
    </row>
    <row r="147" ht="15" customHeight="1" s="290">
      <c r="A147" s="380" t="n">
        <v>583</v>
      </c>
      <c r="B147" s="438" t="inlineStr">
        <is>
          <t>Micronesia, Federated States of</t>
        </is>
      </c>
      <c r="C147" s="380" t="inlineStr">
        <is>
          <t>FM</t>
        </is>
      </c>
      <c r="E147" s="570" t="inlineStr">
        <is>
          <t>TTD</t>
        </is>
      </c>
    </row>
    <row r="148" ht="15" customHeight="1" s="290">
      <c r="A148" s="380" t="n">
        <v>498</v>
      </c>
      <c r="B148" s="438" t="inlineStr">
        <is>
          <t>Moldova, Republic of</t>
        </is>
      </c>
      <c r="C148" s="380" t="inlineStr">
        <is>
          <t>MD</t>
        </is>
      </c>
      <c r="E148" s="570" t="inlineStr">
        <is>
          <t>TWD</t>
        </is>
      </c>
    </row>
    <row r="149" ht="15" customHeight="1" s="290">
      <c r="A149" s="380" t="n">
        <v>492</v>
      </c>
      <c r="B149" s="438" t="inlineStr">
        <is>
          <t>Monaco</t>
        </is>
      </c>
      <c r="C149" s="380" t="inlineStr">
        <is>
          <t>MC</t>
        </is>
      </c>
      <c r="E149" s="570" t="inlineStr">
        <is>
          <t>TZS</t>
        </is>
      </c>
    </row>
    <row r="150" ht="15" customHeight="1" s="290">
      <c r="A150" s="380" t="n">
        <v>496</v>
      </c>
      <c r="B150" s="438" t="inlineStr">
        <is>
          <t>Mongolia</t>
        </is>
      </c>
      <c r="C150" s="380" t="inlineStr">
        <is>
          <t>MN</t>
        </is>
      </c>
      <c r="E150" s="570" t="inlineStr">
        <is>
          <t>UAH</t>
        </is>
      </c>
    </row>
    <row r="151" ht="15" customHeight="1" s="290">
      <c r="A151" s="380" t="n">
        <v>499</v>
      </c>
      <c r="B151" s="438" t="inlineStr">
        <is>
          <t>Montenegro</t>
        </is>
      </c>
      <c r="C151" s="380" t="inlineStr">
        <is>
          <t>ME</t>
        </is>
      </c>
      <c r="E151" s="570" t="inlineStr">
        <is>
          <t>UGX</t>
        </is>
      </c>
    </row>
    <row r="152" ht="15" customHeight="1" s="290">
      <c r="A152" s="380" t="n">
        <v>500</v>
      </c>
      <c r="B152" s="438" t="inlineStr">
        <is>
          <t>Montserrat</t>
        </is>
      </c>
      <c r="C152" s="380" t="inlineStr">
        <is>
          <t>MS</t>
        </is>
      </c>
      <c r="E152" s="570" t="inlineStr">
        <is>
          <t>USD</t>
        </is>
      </c>
    </row>
    <row r="153" ht="15" customHeight="1" s="290">
      <c r="A153" s="380" t="n">
        <v>504</v>
      </c>
      <c r="B153" s="438" t="inlineStr">
        <is>
          <t>Morocco</t>
        </is>
      </c>
      <c r="C153" s="380" t="inlineStr">
        <is>
          <t>MA</t>
        </is>
      </c>
      <c r="E153" s="570" t="inlineStr">
        <is>
          <t>USN</t>
        </is>
      </c>
    </row>
    <row r="154" ht="15" customHeight="1" s="290">
      <c r="A154" s="380" t="n">
        <v>508</v>
      </c>
      <c r="B154" s="438" t="inlineStr">
        <is>
          <t>Mozambique</t>
        </is>
      </c>
      <c r="C154" s="380" t="inlineStr">
        <is>
          <t>MZ</t>
        </is>
      </c>
      <c r="E154" s="570" t="inlineStr">
        <is>
          <t>USS</t>
        </is>
      </c>
    </row>
    <row r="155" ht="15" customHeight="1" s="290">
      <c r="A155" s="380" t="n">
        <v>104</v>
      </c>
      <c r="B155" s="438" t="inlineStr">
        <is>
          <t>Myanmar</t>
        </is>
      </c>
      <c r="C155" s="380" t="inlineStr">
        <is>
          <t>MM</t>
        </is>
      </c>
      <c r="E155" s="570" t="inlineStr">
        <is>
          <t>UYI</t>
        </is>
      </c>
    </row>
    <row r="156" ht="15" customHeight="1" s="290">
      <c r="A156" s="380" t="n">
        <v>516</v>
      </c>
      <c r="B156" s="438" t="inlineStr">
        <is>
          <t>Namibia</t>
        </is>
      </c>
      <c r="C156" s="380" t="inlineStr">
        <is>
          <t>NA</t>
        </is>
      </c>
      <c r="E156" s="570" t="inlineStr">
        <is>
          <t>UYU</t>
        </is>
      </c>
    </row>
    <row r="157" ht="15" customHeight="1" s="290">
      <c r="A157" s="380" t="n">
        <v>520</v>
      </c>
      <c r="B157" s="438" t="inlineStr">
        <is>
          <t>Nauru</t>
        </is>
      </c>
      <c r="C157" s="380" t="inlineStr">
        <is>
          <t>NR</t>
        </is>
      </c>
      <c r="E157" s="570" t="inlineStr">
        <is>
          <t>UZS</t>
        </is>
      </c>
    </row>
    <row r="158" ht="15" customHeight="1" s="290">
      <c r="A158" s="380" t="n">
        <v>524</v>
      </c>
      <c r="B158" s="438" t="inlineStr">
        <is>
          <t>Nepal</t>
        </is>
      </c>
      <c r="C158" s="380" t="inlineStr">
        <is>
          <t>NP</t>
        </is>
      </c>
      <c r="E158" s="570" t="inlineStr">
        <is>
          <t>VEF</t>
        </is>
      </c>
    </row>
    <row r="159" ht="15" customHeight="1" s="290">
      <c r="A159" s="380" t="n">
        <v>528</v>
      </c>
      <c r="B159" s="438" t="inlineStr">
        <is>
          <t>Netherlands</t>
        </is>
      </c>
      <c r="C159" s="380" t="inlineStr">
        <is>
          <t>NL</t>
        </is>
      </c>
      <c r="E159" s="570" t="inlineStr">
        <is>
          <t>VND</t>
        </is>
      </c>
    </row>
    <row r="160" ht="15" customHeight="1" s="290">
      <c r="A160" s="380" t="n">
        <v>540</v>
      </c>
      <c r="B160" s="438" t="inlineStr">
        <is>
          <t>New Caledonia</t>
        </is>
      </c>
      <c r="C160" s="380" t="inlineStr">
        <is>
          <t>NC</t>
        </is>
      </c>
      <c r="E160" s="570" t="inlineStr">
        <is>
          <t>VUV</t>
        </is>
      </c>
    </row>
    <row r="161" ht="15" customHeight="1" s="290">
      <c r="A161" s="380" t="n">
        <v>554</v>
      </c>
      <c r="B161" s="438" t="inlineStr">
        <is>
          <t>New Zealand</t>
        </is>
      </c>
      <c r="C161" s="380" t="inlineStr">
        <is>
          <t>NZ</t>
        </is>
      </c>
      <c r="E161" s="570" t="inlineStr">
        <is>
          <t>WST</t>
        </is>
      </c>
    </row>
    <row r="162" ht="15" customHeight="1" s="290">
      <c r="A162" s="380" t="n">
        <v>558</v>
      </c>
      <c r="B162" s="438" t="inlineStr">
        <is>
          <t>Nicaragua</t>
        </is>
      </c>
      <c r="C162" s="380" t="inlineStr">
        <is>
          <t>NI</t>
        </is>
      </c>
      <c r="E162" s="570" t="inlineStr">
        <is>
          <t>XAF</t>
        </is>
      </c>
    </row>
    <row r="163" ht="15" customHeight="1" s="290">
      <c r="A163" s="380" t="n">
        <v>562</v>
      </c>
      <c r="B163" s="438" t="inlineStr">
        <is>
          <t>Niger</t>
        </is>
      </c>
      <c r="C163" s="380" t="inlineStr">
        <is>
          <t>NE</t>
        </is>
      </c>
      <c r="E163" s="570" t="inlineStr">
        <is>
          <t>XAG</t>
        </is>
      </c>
    </row>
    <row r="164" ht="15" customHeight="1" s="290">
      <c r="A164" s="380" t="n">
        <v>566</v>
      </c>
      <c r="B164" s="438" t="inlineStr">
        <is>
          <t>Nigeria</t>
        </is>
      </c>
      <c r="C164" s="380" t="inlineStr">
        <is>
          <t>NG</t>
        </is>
      </c>
      <c r="E164" s="570" t="inlineStr">
        <is>
          <t>XAU</t>
        </is>
      </c>
    </row>
    <row r="165" ht="15" customHeight="1" s="290">
      <c r="A165" s="380" t="n">
        <v>570</v>
      </c>
      <c r="B165" s="438" t="inlineStr">
        <is>
          <t>Niue</t>
        </is>
      </c>
      <c r="C165" s="380" t="inlineStr">
        <is>
          <t>NU</t>
        </is>
      </c>
      <c r="E165" s="570" t="inlineStr">
        <is>
          <t>XBA</t>
        </is>
      </c>
    </row>
    <row r="166" ht="15" customHeight="1" s="290">
      <c r="A166" s="380" t="n">
        <v>574</v>
      </c>
      <c r="B166" s="438" t="inlineStr">
        <is>
          <t>Norfolk Island</t>
        </is>
      </c>
      <c r="C166" s="380" t="inlineStr">
        <is>
          <t>NF</t>
        </is>
      </c>
      <c r="E166" s="570" t="inlineStr">
        <is>
          <t>XBB</t>
        </is>
      </c>
    </row>
    <row r="167" ht="15" customHeight="1" s="290">
      <c r="A167" s="380" t="n">
        <v>580</v>
      </c>
      <c r="B167" s="438" t="inlineStr">
        <is>
          <t>Northern Mariana Islands</t>
        </is>
      </c>
      <c r="C167" s="380" t="inlineStr">
        <is>
          <t>MP</t>
        </is>
      </c>
      <c r="E167" s="570" t="inlineStr">
        <is>
          <t>XBC</t>
        </is>
      </c>
    </row>
    <row r="168" ht="15" customHeight="1" s="290">
      <c r="A168" s="380" t="n">
        <v>578</v>
      </c>
      <c r="B168" s="438" t="inlineStr">
        <is>
          <t>Norway</t>
        </is>
      </c>
      <c r="C168" s="380" t="inlineStr">
        <is>
          <t>NO</t>
        </is>
      </c>
      <c r="E168" s="570" t="inlineStr">
        <is>
          <t>XBD</t>
        </is>
      </c>
    </row>
    <row r="169" ht="15" customHeight="1" s="290">
      <c r="A169" s="380" t="n">
        <v>512</v>
      </c>
      <c r="B169" s="438" t="inlineStr">
        <is>
          <t>Oman</t>
        </is>
      </c>
      <c r="C169" s="380" t="inlineStr">
        <is>
          <t>OM</t>
        </is>
      </c>
      <c r="E169" s="570" t="inlineStr">
        <is>
          <t>XCD</t>
        </is>
      </c>
    </row>
    <row r="170" ht="15" customHeight="1" s="290">
      <c r="A170" s="380" t="n">
        <v>586</v>
      </c>
      <c r="B170" s="438" t="inlineStr">
        <is>
          <t>Pakistan</t>
        </is>
      </c>
      <c r="C170" s="380" t="inlineStr">
        <is>
          <t>PK</t>
        </is>
      </c>
      <c r="E170" s="570" t="inlineStr">
        <is>
          <t>XDR</t>
        </is>
      </c>
    </row>
    <row r="171" ht="15" customHeight="1" s="290">
      <c r="A171" s="380" t="n">
        <v>585</v>
      </c>
      <c r="B171" s="438" t="inlineStr">
        <is>
          <t>Palau</t>
        </is>
      </c>
      <c r="C171" s="380" t="inlineStr">
        <is>
          <t>PW</t>
        </is>
      </c>
      <c r="E171" s="570" t="inlineStr">
        <is>
          <t>XFU</t>
        </is>
      </c>
    </row>
    <row r="172" ht="15" customHeight="1" s="290">
      <c r="A172" s="380" t="n">
        <v>275</v>
      </c>
      <c r="B172" s="438" t="inlineStr">
        <is>
          <t>Palestine, State of</t>
        </is>
      </c>
      <c r="C172" s="380" t="inlineStr">
        <is>
          <t>PS</t>
        </is>
      </c>
      <c r="E172" s="570" t="inlineStr">
        <is>
          <t>XOF</t>
        </is>
      </c>
    </row>
    <row r="173" ht="15" customHeight="1" s="290">
      <c r="A173" s="380" t="n">
        <v>591</v>
      </c>
      <c r="B173" s="438" t="inlineStr">
        <is>
          <t>Panama</t>
        </is>
      </c>
      <c r="C173" s="380" t="inlineStr">
        <is>
          <t>PA</t>
        </is>
      </c>
      <c r="E173" s="570" t="inlineStr">
        <is>
          <t>XPD</t>
        </is>
      </c>
    </row>
    <row r="174" ht="15" customHeight="1" s="290">
      <c r="A174" s="380" t="n">
        <v>598</v>
      </c>
      <c r="B174" s="438" t="inlineStr">
        <is>
          <t>Papua New Guinea</t>
        </is>
      </c>
      <c r="C174" s="380" t="inlineStr">
        <is>
          <t>PG</t>
        </is>
      </c>
      <c r="E174" s="570" t="inlineStr">
        <is>
          <t>XPF</t>
        </is>
      </c>
    </row>
    <row r="175" ht="15" customHeight="1" s="290">
      <c r="A175" s="380" t="n">
        <v>600</v>
      </c>
      <c r="B175" s="438" t="inlineStr">
        <is>
          <t>Paraguay</t>
        </is>
      </c>
      <c r="C175" s="380" t="inlineStr">
        <is>
          <t>PY</t>
        </is>
      </c>
      <c r="E175" s="570" t="inlineStr">
        <is>
          <t>XPT</t>
        </is>
      </c>
    </row>
    <row r="176" ht="15" customHeight="1" s="290">
      <c r="A176" s="380" t="n">
        <v>604</v>
      </c>
      <c r="B176" s="438" t="inlineStr">
        <is>
          <t>Peru</t>
        </is>
      </c>
      <c r="C176" s="380" t="inlineStr">
        <is>
          <t>PE</t>
        </is>
      </c>
      <c r="E176" s="570" t="inlineStr">
        <is>
          <t>XTS</t>
        </is>
      </c>
    </row>
    <row r="177" ht="15" customHeight="1" s="290">
      <c r="A177" s="380" t="n">
        <v>608</v>
      </c>
      <c r="B177" s="438" t="inlineStr">
        <is>
          <t>Philippines</t>
        </is>
      </c>
      <c r="C177" s="380" t="inlineStr">
        <is>
          <t>PH</t>
        </is>
      </c>
      <c r="E177" s="570" t="inlineStr">
        <is>
          <t>XXX</t>
        </is>
      </c>
    </row>
    <row r="178" ht="15" customHeight="1" s="290">
      <c r="A178" s="380" t="n">
        <v>612</v>
      </c>
      <c r="B178" s="438" t="inlineStr">
        <is>
          <t>Pitcairn</t>
        </is>
      </c>
      <c r="C178" s="380" t="inlineStr">
        <is>
          <t>PN</t>
        </is>
      </c>
      <c r="E178" s="570" t="inlineStr">
        <is>
          <t>YER</t>
        </is>
      </c>
    </row>
    <row r="179" ht="15" customHeight="1" s="290">
      <c r="A179" s="380" t="n">
        <v>616</v>
      </c>
      <c r="B179" s="438" t="inlineStr">
        <is>
          <t>Poland</t>
        </is>
      </c>
      <c r="C179" s="380" t="inlineStr">
        <is>
          <t>PL</t>
        </is>
      </c>
      <c r="E179" s="570" t="inlineStr">
        <is>
          <t>ZAR</t>
        </is>
      </c>
    </row>
    <row r="180" ht="15" customHeight="1" s="290">
      <c r="A180" s="380" t="n">
        <v>620</v>
      </c>
      <c r="B180" s="438" t="inlineStr">
        <is>
          <t>Portugal</t>
        </is>
      </c>
      <c r="C180" s="380" t="inlineStr">
        <is>
          <t>PT</t>
        </is>
      </c>
      <c r="E180" s="570" t="inlineStr">
        <is>
          <t>ZMK</t>
        </is>
      </c>
    </row>
    <row r="181" ht="15" customHeight="1" s="290">
      <c r="A181" s="380" t="n">
        <v>630</v>
      </c>
      <c r="B181" s="438" t="inlineStr">
        <is>
          <t>Puerto Rico</t>
        </is>
      </c>
      <c r="C181" s="380" t="inlineStr">
        <is>
          <t>PR</t>
        </is>
      </c>
      <c r="E181" s="570" t="inlineStr">
        <is>
          <t>ZWL</t>
        </is>
      </c>
    </row>
    <row r="182" ht="15" customHeight="1" s="290">
      <c r="A182" s="380" t="n">
        <v>634</v>
      </c>
      <c r="B182" s="438" t="inlineStr">
        <is>
          <t>Qatar</t>
        </is>
      </c>
      <c r="C182" s="380" t="inlineStr">
        <is>
          <t>QA</t>
        </is>
      </c>
    </row>
    <row r="183" ht="15" customHeight="1" s="290">
      <c r="A183" s="380" t="n">
        <v>638</v>
      </c>
      <c r="B183" s="438" t="inlineStr">
        <is>
          <t>Réunion</t>
        </is>
      </c>
      <c r="C183" s="380" t="inlineStr">
        <is>
          <t>RE</t>
        </is>
      </c>
    </row>
    <row r="184" ht="15" customHeight="1" s="290">
      <c r="A184" s="380" t="n">
        <v>642</v>
      </c>
      <c r="B184" s="438" t="inlineStr">
        <is>
          <t>Romania</t>
        </is>
      </c>
      <c r="C184" s="380" t="inlineStr">
        <is>
          <t>RO</t>
        </is>
      </c>
    </row>
    <row r="185" ht="15" customHeight="1" s="290">
      <c r="A185" s="380" t="n">
        <v>643</v>
      </c>
      <c r="B185" s="438" t="inlineStr">
        <is>
          <t>Russian Federation</t>
        </is>
      </c>
      <c r="C185" s="380" t="inlineStr">
        <is>
          <t>RU</t>
        </is>
      </c>
    </row>
    <row r="186" ht="15" customHeight="1" s="290">
      <c r="A186" s="380" t="n">
        <v>646</v>
      </c>
      <c r="B186" s="438" t="inlineStr">
        <is>
          <t>Rwanda</t>
        </is>
      </c>
      <c r="C186" s="380" t="inlineStr">
        <is>
          <t>RW</t>
        </is>
      </c>
    </row>
    <row r="187" ht="15" customHeight="1" s="290">
      <c r="A187" s="380" t="n">
        <v>652</v>
      </c>
      <c r="B187" s="438" t="inlineStr">
        <is>
          <t>Saint Barthélemy</t>
        </is>
      </c>
      <c r="C187" s="380" t="inlineStr">
        <is>
          <t>BL</t>
        </is>
      </c>
    </row>
    <row r="188" ht="15" customHeight="1" s="290">
      <c r="A188" s="380" t="n">
        <v>654</v>
      </c>
      <c r="B188" s="438" t="inlineStr">
        <is>
          <t>Saint Helena, Ascension and Tristan da Cunha</t>
        </is>
      </c>
      <c r="C188" s="380" t="inlineStr">
        <is>
          <t>SH</t>
        </is>
      </c>
    </row>
    <row r="189" ht="15" customHeight="1" s="290">
      <c r="A189" s="380" t="n">
        <v>659</v>
      </c>
      <c r="B189" s="438" t="inlineStr">
        <is>
          <t>Saint Kitts and Nevis</t>
        </is>
      </c>
      <c r="C189" s="380" t="inlineStr">
        <is>
          <t>KN</t>
        </is>
      </c>
    </row>
    <row r="190" ht="15" customHeight="1" s="290">
      <c r="A190" s="380" t="n">
        <v>662</v>
      </c>
      <c r="B190" s="438" t="inlineStr">
        <is>
          <t>Saint Lucia</t>
        </is>
      </c>
      <c r="C190" s="380" t="inlineStr">
        <is>
          <t>LC</t>
        </is>
      </c>
    </row>
    <row r="191" ht="15" customHeight="1" s="290">
      <c r="A191" s="380" t="n">
        <v>663</v>
      </c>
      <c r="B191" s="438" t="inlineStr">
        <is>
          <t>Saint Martin (French part)</t>
        </is>
      </c>
      <c r="C191" s="380" t="inlineStr">
        <is>
          <t>MF</t>
        </is>
      </c>
    </row>
    <row r="192" ht="15" customHeight="1" s="290">
      <c r="A192" s="380" t="n">
        <v>666</v>
      </c>
      <c r="B192" s="438" t="inlineStr">
        <is>
          <t>Saint Pierre and Miquelon</t>
        </is>
      </c>
      <c r="C192" s="380" t="inlineStr">
        <is>
          <t>PM</t>
        </is>
      </c>
    </row>
    <row r="193" ht="15" customHeight="1" s="290">
      <c r="A193" s="380" t="n">
        <v>670</v>
      </c>
      <c r="B193" s="438" t="inlineStr">
        <is>
          <t>Saint Vincent and the Grenadines</t>
        </is>
      </c>
      <c r="C193" s="380" t="inlineStr">
        <is>
          <t>VC</t>
        </is>
      </c>
    </row>
    <row r="194" ht="15" customHeight="1" s="290">
      <c r="A194" s="380" t="n">
        <v>882</v>
      </c>
      <c r="B194" s="438" t="inlineStr">
        <is>
          <t>Samoa</t>
        </is>
      </c>
      <c r="C194" s="380" t="inlineStr">
        <is>
          <t>WS</t>
        </is>
      </c>
    </row>
    <row r="195" ht="15" customHeight="1" s="290">
      <c r="A195" s="380" t="n">
        <v>674</v>
      </c>
      <c r="B195" s="438" t="inlineStr">
        <is>
          <t>San Marino</t>
        </is>
      </c>
      <c r="C195" s="380" t="inlineStr">
        <is>
          <t>SM</t>
        </is>
      </c>
    </row>
    <row r="196" ht="15" customHeight="1" s="290">
      <c r="A196" s="380" t="n">
        <v>678</v>
      </c>
      <c r="B196" s="438" t="inlineStr">
        <is>
          <t>Sao Tome and Principe</t>
        </is>
      </c>
      <c r="C196" s="380" t="inlineStr">
        <is>
          <t>ST</t>
        </is>
      </c>
    </row>
    <row r="197" ht="15" customHeight="1" s="290">
      <c r="A197" s="380" t="n">
        <v>682</v>
      </c>
      <c r="B197" s="438" t="inlineStr">
        <is>
          <t>Saudi Arabia</t>
        </is>
      </c>
      <c r="C197" s="380" t="inlineStr">
        <is>
          <t>SA</t>
        </is>
      </c>
    </row>
    <row r="198" ht="15" customHeight="1" s="290">
      <c r="A198" s="380" t="n">
        <v>686</v>
      </c>
      <c r="B198" s="438" t="inlineStr">
        <is>
          <t>Senegal</t>
        </is>
      </c>
      <c r="C198" s="380" t="inlineStr">
        <is>
          <t>SN</t>
        </is>
      </c>
    </row>
    <row r="199" ht="15" customHeight="1" s="290">
      <c r="A199" s="380" t="n">
        <v>688</v>
      </c>
      <c r="B199" s="438" t="inlineStr">
        <is>
          <t>Serbia</t>
        </is>
      </c>
      <c r="C199" s="380" t="inlineStr">
        <is>
          <t>RS</t>
        </is>
      </c>
    </row>
    <row r="200" ht="15" customHeight="1" s="290">
      <c r="A200" s="380" t="n">
        <v>690</v>
      </c>
      <c r="B200" s="438" t="inlineStr">
        <is>
          <t>Seychelles</t>
        </is>
      </c>
      <c r="C200" s="380" t="inlineStr">
        <is>
          <t>SC</t>
        </is>
      </c>
    </row>
    <row r="201" ht="15" customHeight="1" s="290">
      <c r="A201" s="380" t="n">
        <v>694</v>
      </c>
      <c r="B201" s="438" t="inlineStr">
        <is>
          <t>Sierra Leone</t>
        </is>
      </c>
      <c r="C201" s="380" t="inlineStr">
        <is>
          <t>SL</t>
        </is>
      </c>
    </row>
    <row r="202" ht="15" customHeight="1" s="290">
      <c r="A202" s="380" t="n">
        <v>702</v>
      </c>
      <c r="B202" s="438" t="inlineStr">
        <is>
          <t>Singapore</t>
        </is>
      </c>
      <c r="C202" s="380" t="inlineStr">
        <is>
          <t>SG</t>
        </is>
      </c>
    </row>
    <row r="203" ht="15" customHeight="1" s="290">
      <c r="A203" s="380" t="n">
        <v>534</v>
      </c>
      <c r="B203" s="438" t="inlineStr">
        <is>
          <t>Sint Maarten (Dutch part)</t>
        </is>
      </c>
      <c r="C203" s="380" t="inlineStr">
        <is>
          <t>SX</t>
        </is>
      </c>
    </row>
    <row r="204" ht="15" customHeight="1" s="290">
      <c r="A204" s="380" t="n">
        <v>703</v>
      </c>
      <c r="B204" s="438" t="inlineStr">
        <is>
          <t>Slovakia</t>
        </is>
      </c>
      <c r="C204" s="380" t="inlineStr">
        <is>
          <t>SK</t>
        </is>
      </c>
    </row>
    <row r="205" ht="15" customHeight="1" s="290">
      <c r="A205" s="380" t="n">
        <v>705</v>
      </c>
      <c r="B205" s="438" t="inlineStr">
        <is>
          <t>Slovenia</t>
        </is>
      </c>
      <c r="C205" s="380" t="inlineStr">
        <is>
          <t>SI</t>
        </is>
      </c>
    </row>
    <row r="206" ht="15" customHeight="1" s="290">
      <c r="A206" s="380" t="n">
        <v>90</v>
      </c>
      <c r="B206" s="438" t="inlineStr">
        <is>
          <t>Solomon Islands</t>
        </is>
      </c>
      <c r="C206" s="380" t="inlineStr">
        <is>
          <t>SB</t>
        </is>
      </c>
    </row>
    <row r="207" ht="15" customHeight="1" s="290">
      <c r="A207" s="380" t="n">
        <v>706</v>
      </c>
      <c r="B207" s="438" t="inlineStr">
        <is>
          <t>Somalia</t>
        </is>
      </c>
      <c r="C207" s="380" t="inlineStr">
        <is>
          <t>SO</t>
        </is>
      </c>
    </row>
    <row r="208" ht="15" customHeight="1" s="290">
      <c r="A208" s="380" t="n">
        <v>710</v>
      </c>
      <c r="B208" s="438" t="inlineStr">
        <is>
          <t>South Africa</t>
        </is>
      </c>
      <c r="C208" s="380" t="inlineStr">
        <is>
          <t>ZA</t>
        </is>
      </c>
    </row>
    <row r="209" ht="15" customHeight="1" s="290">
      <c r="A209" s="380" t="n">
        <v>239</v>
      </c>
      <c r="B209" s="438" t="inlineStr">
        <is>
          <t>South Georgia and the South Sandwich Islands</t>
        </is>
      </c>
      <c r="C209" s="380" t="inlineStr">
        <is>
          <t>GS</t>
        </is>
      </c>
    </row>
    <row r="210" ht="15" customHeight="1" s="290">
      <c r="A210" s="380" t="n">
        <v>728</v>
      </c>
      <c r="B210" s="438" t="inlineStr">
        <is>
          <t>South Sudan</t>
        </is>
      </c>
      <c r="C210" s="380" t="inlineStr">
        <is>
          <t>SS</t>
        </is>
      </c>
    </row>
    <row r="211" ht="15" customHeight="1" s="290">
      <c r="A211" s="380" t="n">
        <v>724</v>
      </c>
      <c r="B211" s="438" t="inlineStr">
        <is>
          <t>Spain</t>
        </is>
      </c>
      <c r="C211" s="380" t="inlineStr">
        <is>
          <t>ES</t>
        </is>
      </c>
    </row>
    <row r="212" ht="15" customHeight="1" s="290">
      <c r="A212" s="380" t="n">
        <v>144</v>
      </c>
      <c r="B212" s="438" t="inlineStr">
        <is>
          <t>Sri Lanka</t>
        </is>
      </c>
      <c r="C212" s="380" t="inlineStr">
        <is>
          <t>LK</t>
        </is>
      </c>
    </row>
    <row r="213" ht="15" customHeight="1" s="290">
      <c r="A213" s="380" t="n">
        <v>729</v>
      </c>
      <c r="B213" s="438" t="inlineStr">
        <is>
          <t>Sudan</t>
        </is>
      </c>
      <c r="C213" s="380" t="inlineStr">
        <is>
          <t>SD</t>
        </is>
      </c>
    </row>
    <row r="214" ht="15" customHeight="1" s="290">
      <c r="A214" s="380" t="n">
        <v>740</v>
      </c>
      <c r="B214" s="438" t="inlineStr">
        <is>
          <t>Suriname</t>
        </is>
      </c>
      <c r="C214" s="380" t="inlineStr">
        <is>
          <t>SR</t>
        </is>
      </c>
    </row>
    <row r="215" ht="15" customHeight="1" s="290">
      <c r="A215" s="380" t="n">
        <v>744</v>
      </c>
      <c r="B215" s="438" t="inlineStr">
        <is>
          <t>Svalbard and Jan Mayen</t>
        </is>
      </c>
      <c r="C215" s="380" t="inlineStr">
        <is>
          <t>SJ</t>
        </is>
      </c>
    </row>
    <row r="216" ht="15" customHeight="1" s="290">
      <c r="A216" s="380" t="n">
        <v>748</v>
      </c>
      <c r="B216" s="438" t="inlineStr">
        <is>
          <t>Swaziland</t>
        </is>
      </c>
      <c r="C216" s="380" t="inlineStr">
        <is>
          <t>SZ</t>
        </is>
      </c>
    </row>
    <row r="217" ht="15" customHeight="1" s="290">
      <c r="A217" s="380" t="n">
        <v>752</v>
      </c>
      <c r="B217" s="438" t="inlineStr">
        <is>
          <t>Sweden</t>
        </is>
      </c>
      <c r="C217" s="380" t="inlineStr">
        <is>
          <t>SE</t>
        </is>
      </c>
    </row>
    <row r="218" ht="15" customHeight="1" s="290">
      <c r="A218" s="380" t="n">
        <v>756</v>
      </c>
      <c r="B218" s="438" t="inlineStr">
        <is>
          <t>Switzerland</t>
        </is>
      </c>
      <c r="C218" s="380" t="inlineStr">
        <is>
          <t>CH</t>
        </is>
      </c>
    </row>
    <row r="219" ht="15" customHeight="1" s="290">
      <c r="A219" s="380" t="n">
        <v>760</v>
      </c>
      <c r="B219" s="438" t="inlineStr">
        <is>
          <t>Syrian Arab Republic</t>
        </is>
      </c>
      <c r="C219" s="380" t="inlineStr">
        <is>
          <t>SY</t>
        </is>
      </c>
    </row>
    <row r="220" ht="15" customHeight="1" s="290">
      <c r="A220" s="380" t="n">
        <v>158</v>
      </c>
      <c r="B220" s="438" t="inlineStr">
        <is>
          <t>Taiwan, Province of China</t>
        </is>
      </c>
      <c r="C220" s="380" t="inlineStr">
        <is>
          <t>TW</t>
        </is>
      </c>
    </row>
    <row r="221" ht="15" customHeight="1" s="290">
      <c r="A221" s="380" t="n">
        <v>762</v>
      </c>
      <c r="B221" s="438" t="inlineStr">
        <is>
          <t>Tajikistan</t>
        </is>
      </c>
      <c r="C221" s="380" t="inlineStr">
        <is>
          <t>TJ</t>
        </is>
      </c>
    </row>
    <row r="222" ht="15" customHeight="1" s="290">
      <c r="A222" s="380" t="n">
        <v>834</v>
      </c>
      <c r="B222" s="438" t="inlineStr">
        <is>
          <t>Tanzania, United Republic of</t>
        </is>
      </c>
      <c r="C222" s="380" t="inlineStr">
        <is>
          <t>TZ</t>
        </is>
      </c>
    </row>
    <row r="223" ht="15" customHeight="1" s="290">
      <c r="A223" s="380" t="n">
        <v>764</v>
      </c>
      <c r="B223" s="438" t="inlineStr">
        <is>
          <t>Thailand</t>
        </is>
      </c>
      <c r="C223" s="380" t="inlineStr">
        <is>
          <t>TH</t>
        </is>
      </c>
    </row>
    <row r="224" ht="15" customHeight="1" s="290">
      <c r="A224" s="380" t="n">
        <v>626</v>
      </c>
      <c r="B224" s="438" t="inlineStr">
        <is>
          <t>Timor-Leste</t>
        </is>
      </c>
      <c r="C224" s="380" t="inlineStr">
        <is>
          <t>TL</t>
        </is>
      </c>
    </row>
    <row r="225" ht="15" customHeight="1" s="290">
      <c r="A225" s="380" t="n">
        <v>768</v>
      </c>
      <c r="B225" s="438" t="inlineStr">
        <is>
          <t>Togo</t>
        </is>
      </c>
      <c r="C225" s="380" t="inlineStr">
        <is>
          <t>TG</t>
        </is>
      </c>
    </row>
    <row r="226" ht="15" customHeight="1" s="290">
      <c r="A226" s="380" t="n">
        <v>772</v>
      </c>
      <c r="B226" s="438" t="inlineStr">
        <is>
          <t>Tokelau</t>
        </is>
      </c>
      <c r="C226" s="380" t="inlineStr">
        <is>
          <t>TK</t>
        </is>
      </c>
    </row>
    <row r="227" ht="15" customHeight="1" s="290">
      <c r="A227" s="380" t="n">
        <v>776</v>
      </c>
      <c r="B227" s="438" t="inlineStr">
        <is>
          <t>Tonga</t>
        </is>
      </c>
      <c r="C227" s="380" t="inlineStr">
        <is>
          <t>TO</t>
        </is>
      </c>
    </row>
    <row r="228" ht="15" customHeight="1" s="290">
      <c r="A228" s="380" t="n">
        <v>780</v>
      </c>
      <c r="B228" s="438" t="inlineStr">
        <is>
          <t>Trinidad and Tobago</t>
        </is>
      </c>
      <c r="C228" s="380" t="inlineStr">
        <is>
          <t>TT</t>
        </is>
      </c>
    </row>
    <row r="229" ht="15" customHeight="1" s="290">
      <c r="A229" s="380" t="n">
        <v>788</v>
      </c>
      <c r="B229" s="438" t="inlineStr">
        <is>
          <t>Tunisia</t>
        </is>
      </c>
      <c r="C229" s="380" t="inlineStr">
        <is>
          <t>TN</t>
        </is>
      </c>
    </row>
    <row r="230" ht="15" customHeight="1" s="290">
      <c r="A230" s="380" t="n">
        <v>792</v>
      </c>
      <c r="B230" s="438" t="inlineStr">
        <is>
          <t>Turkey</t>
        </is>
      </c>
      <c r="C230" s="380" t="inlineStr">
        <is>
          <t>TR</t>
        </is>
      </c>
    </row>
    <row r="231" ht="15" customHeight="1" s="290">
      <c r="A231" s="380" t="n">
        <v>795</v>
      </c>
      <c r="B231" s="438" t="inlineStr">
        <is>
          <t>Turkmenistan</t>
        </is>
      </c>
      <c r="C231" s="380" t="inlineStr">
        <is>
          <t>TM</t>
        </is>
      </c>
    </row>
    <row r="232" ht="15" customHeight="1" s="290">
      <c r="A232" s="380" t="n">
        <v>796</v>
      </c>
      <c r="B232" s="438" t="inlineStr">
        <is>
          <t>Turks and Caicos Islands</t>
        </is>
      </c>
      <c r="C232" s="380" t="inlineStr">
        <is>
          <t>TC</t>
        </is>
      </c>
    </row>
    <row r="233" ht="15" customHeight="1" s="290">
      <c r="A233" s="380" t="n">
        <v>798</v>
      </c>
      <c r="B233" s="438" t="inlineStr">
        <is>
          <t>Tuvalu</t>
        </is>
      </c>
      <c r="C233" s="380" t="inlineStr">
        <is>
          <t>TV</t>
        </is>
      </c>
    </row>
    <row r="234" ht="15" customHeight="1" s="290">
      <c r="A234" s="380" t="n">
        <v>800</v>
      </c>
      <c r="B234" s="438" t="inlineStr">
        <is>
          <t>Uganda</t>
        </is>
      </c>
      <c r="C234" s="380" t="inlineStr">
        <is>
          <t>UG</t>
        </is>
      </c>
    </row>
    <row r="235" ht="15" customHeight="1" s="290">
      <c r="A235" s="380" t="n">
        <v>804</v>
      </c>
      <c r="B235" s="438" t="inlineStr">
        <is>
          <t>Ukraine</t>
        </is>
      </c>
      <c r="C235" s="380" t="inlineStr">
        <is>
          <t>UA</t>
        </is>
      </c>
    </row>
    <row r="236" ht="15" customHeight="1" s="290">
      <c r="A236" s="380" t="n">
        <v>784</v>
      </c>
      <c r="B236" s="438" t="inlineStr">
        <is>
          <t>United Arab Emirates</t>
        </is>
      </c>
      <c r="C236" s="380" t="inlineStr">
        <is>
          <t>AE</t>
        </is>
      </c>
    </row>
    <row r="237" ht="15" customHeight="1" s="290">
      <c r="A237" s="380" t="n">
        <v>826</v>
      </c>
      <c r="B237" s="438" t="inlineStr">
        <is>
          <t>United Kingdom</t>
        </is>
      </c>
      <c r="C237" s="380" t="inlineStr">
        <is>
          <t>GB</t>
        </is>
      </c>
    </row>
    <row r="238" ht="15" customHeight="1" s="290">
      <c r="A238" s="380" t="n">
        <v>840</v>
      </c>
      <c r="B238" s="438" t="inlineStr">
        <is>
          <t>United States</t>
        </is>
      </c>
      <c r="C238" s="380" t="inlineStr">
        <is>
          <t>US</t>
        </is>
      </c>
    </row>
    <row r="239" ht="15" customHeight="1" s="290">
      <c r="A239" s="380" t="n">
        <v>581</v>
      </c>
      <c r="B239" s="438" t="inlineStr">
        <is>
          <t>United States Minor Outlying Islands</t>
        </is>
      </c>
      <c r="C239" s="380" t="inlineStr">
        <is>
          <t>UM</t>
        </is>
      </c>
    </row>
    <row r="240" ht="15" customHeight="1" s="290">
      <c r="A240" s="380" t="n">
        <v>858</v>
      </c>
      <c r="B240" s="438" t="inlineStr">
        <is>
          <t>Uruguay</t>
        </is>
      </c>
      <c r="C240" s="380" t="inlineStr">
        <is>
          <t>UY</t>
        </is>
      </c>
    </row>
    <row r="241" ht="15" customHeight="1" s="290">
      <c r="A241" s="380" t="n">
        <v>860</v>
      </c>
      <c r="B241" s="438" t="inlineStr">
        <is>
          <t>Uzbekistan</t>
        </is>
      </c>
      <c r="C241" s="380" t="inlineStr">
        <is>
          <t>UZ</t>
        </is>
      </c>
    </row>
    <row r="242" ht="15" customHeight="1" s="290">
      <c r="A242" s="380" t="n">
        <v>548</v>
      </c>
      <c r="B242" s="438" t="inlineStr">
        <is>
          <t>Vanuatu</t>
        </is>
      </c>
      <c r="C242" s="380" t="inlineStr">
        <is>
          <t>VU</t>
        </is>
      </c>
    </row>
    <row r="243" ht="15" customHeight="1" s="290">
      <c r="A243" s="380" t="n">
        <v>862</v>
      </c>
      <c r="B243" s="438" t="inlineStr">
        <is>
          <t>Venezuela, Bolivarian Republic of</t>
        </is>
      </c>
      <c r="C243" s="380" t="inlineStr">
        <is>
          <t>VE</t>
        </is>
      </c>
    </row>
    <row r="244" ht="15" customHeight="1" s="290">
      <c r="A244" s="380" t="n">
        <v>704</v>
      </c>
      <c r="B244" s="438" t="inlineStr">
        <is>
          <t>Viet Nam</t>
        </is>
      </c>
      <c r="C244" s="380" t="inlineStr">
        <is>
          <t>VN</t>
        </is>
      </c>
    </row>
    <row r="245" ht="15" customHeight="1" s="290">
      <c r="A245" s="380" t="n">
        <v>92</v>
      </c>
      <c r="B245" s="438" t="inlineStr">
        <is>
          <t>Virgin Islands, British</t>
        </is>
      </c>
      <c r="C245" s="380" t="inlineStr">
        <is>
          <t>VG</t>
        </is>
      </c>
    </row>
    <row r="246" ht="15" customHeight="1" s="290">
      <c r="A246" s="380" t="n">
        <v>850</v>
      </c>
      <c r="B246" s="438" t="inlineStr">
        <is>
          <t>Virgin Islands, U.S.</t>
        </is>
      </c>
      <c r="C246" s="380" t="inlineStr">
        <is>
          <t>VI</t>
        </is>
      </c>
    </row>
    <row r="247" ht="15" customHeight="1" s="290">
      <c r="A247" s="380" t="n">
        <v>876</v>
      </c>
      <c r="B247" s="438" t="inlineStr">
        <is>
          <t>Wallis and Futuna</t>
        </is>
      </c>
      <c r="C247" s="380" t="inlineStr">
        <is>
          <t>WF</t>
        </is>
      </c>
    </row>
    <row r="248" ht="15" customHeight="1" s="290">
      <c r="A248" s="380" t="n">
        <v>732</v>
      </c>
      <c r="B248" s="438" t="inlineStr">
        <is>
          <t>Western Sahara</t>
        </is>
      </c>
      <c r="C248" s="380" t="inlineStr">
        <is>
          <t>EH</t>
        </is>
      </c>
    </row>
    <row r="249" ht="15" customHeight="1" s="290">
      <c r="A249" s="380" t="n">
        <v>887</v>
      </c>
      <c r="B249" s="438" t="inlineStr">
        <is>
          <t>Yemen</t>
        </is>
      </c>
      <c r="C249" s="380" t="inlineStr">
        <is>
          <t>YE</t>
        </is>
      </c>
    </row>
    <row r="250" ht="15" customHeight="1" s="290">
      <c r="A250" s="380" t="n">
        <v>894</v>
      </c>
      <c r="B250" s="438" t="inlineStr">
        <is>
          <t>Zambia</t>
        </is>
      </c>
      <c r="C250" s="380" t="inlineStr">
        <is>
          <t>ZM</t>
        </is>
      </c>
    </row>
    <row r="251" ht="15" customHeight="1" s="290">
      <c r="A251" s="380" t="n">
        <v>716</v>
      </c>
      <c r="B251" s="438" t="inlineStr">
        <is>
          <t>Zimbabwe</t>
        </is>
      </c>
      <c r="C251" s="380" t="inlineStr">
        <is>
          <t>ZW</t>
        </is>
      </c>
    </row>
  </sheetData>
  <mergeCells count="1">
    <mergeCell ref="A1:C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51.xml><?xml version="1.0" encoding="utf-8"?>
<worksheet xmlns="http://schemas.openxmlformats.org/spreadsheetml/2006/main">
  <sheetPr filterMode="0">
    <tabColor rgb="FF000000"/>
    <outlinePr summaryBelow="1" summaryRight="1"/>
    <pageSetUpPr fitToPage="0"/>
  </sheetPr>
  <dimension ref="A1:D1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1" sqref="AA:AA A1"/>
    </sheetView>
  </sheetViews>
  <sheetFormatPr baseColWidth="8" defaultColWidth="10.16015625" defaultRowHeight="15" zeroHeight="0" outlineLevelRow="1"/>
  <cols>
    <col width="33.51" customWidth="1" style="289" min="1" max="1"/>
    <col width="26.08" customWidth="1" style="289" min="2" max="2"/>
    <col width="44.09" customWidth="1" style="289" min="3" max="4"/>
    <col width="12.72" customWidth="1" style="289" min="5" max="1024"/>
  </cols>
  <sheetData>
    <row r="1" ht="30" customHeight="1" s="290">
      <c r="A1" s="571" t="inlineStr">
        <is>
          <t>SI Units</t>
        </is>
      </c>
      <c r="B1" s="434" t="n"/>
      <c r="C1" s="434" t="n"/>
      <c r="D1" s="572" t="n"/>
    </row>
    <row r="2" hidden="1" ht="22.5" customHeight="1" s="290">
      <c r="A2" s="376" t="n"/>
      <c r="B2" s="376" t="n"/>
      <c r="C2" s="376" t="n"/>
      <c r="D2" s="349" t="n"/>
    </row>
    <row r="3" ht="22.5" customHeight="1" s="290">
      <c r="A3" s="376" t="inlineStr">
        <is>
          <t>Symbol</t>
        </is>
      </c>
      <c r="B3" s="376" t="inlineStr">
        <is>
          <t>Name</t>
        </is>
      </c>
      <c r="C3" s="376" t="inlineStr">
        <is>
          <t>Description</t>
        </is>
      </c>
      <c r="D3" s="349" t="n"/>
    </row>
    <row r="4" ht="18" customHeight="1" s="290">
      <c r="A4" s="362" t="n"/>
      <c r="B4" s="362" t="inlineStr">
        <is>
          <t>Minute angle</t>
        </is>
      </c>
      <c r="C4" s="362" t="inlineStr">
        <is>
          <t>1' = (1/60)° = (pi/10 800) rad</t>
        </is>
      </c>
      <c r="D4" s="362" t="n"/>
    </row>
    <row r="5" ht="18" customHeight="1" s="290">
      <c r="A5" s="362" t="inlineStr">
        <is>
          <t>'</t>
        </is>
      </c>
      <c r="B5" s="362" t="inlineStr">
        <is>
          <t>Second angle</t>
        </is>
      </c>
      <c r="C5" s="362" t="inlineStr">
        <is>
          <t>1'' = (1/60)' = (pi/648 000) rad</t>
        </is>
      </c>
      <c r="D5" s="362" t="n"/>
    </row>
    <row r="6" ht="18" customHeight="1" s="290">
      <c r="A6" s="573" t="inlineStr">
        <is>
          <t>%</t>
        </is>
      </c>
      <c r="B6" s="362" t="n"/>
      <c r="C6" s="362" t="n"/>
      <c r="D6" s="362" t="n"/>
    </row>
    <row r="7" ht="18" customHeight="1" s="290">
      <c r="A7" s="362" t="inlineStr">
        <is>
          <t>% m/m</t>
        </is>
      </c>
      <c r="B7" s="362" t="n"/>
      <c r="C7" s="362" t="n"/>
      <c r="D7" s="362" t="n"/>
    </row>
    <row r="8" ht="18" customHeight="1" s="290">
      <c r="A8" s="362" t="inlineStr">
        <is>
          <t>% v/v</t>
        </is>
      </c>
      <c r="B8" s="362" t="n"/>
      <c r="C8" s="362" t="n"/>
      <c r="D8" s="362" t="n"/>
    </row>
    <row r="9" ht="18" customHeight="1" s="290">
      <c r="A9" s="362" t="inlineStr">
        <is>
          <t>°</t>
        </is>
      </c>
      <c r="B9" s="362" t="inlineStr">
        <is>
          <t>Degree angle</t>
        </is>
      </c>
      <c r="C9" s="362" t="inlineStr">
        <is>
          <t>1° = ( pi/180) rad</t>
        </is>
      </c>
      <c r="D9" s="362" t="n"/>
    </row>
    <row r="10" ht="18" customHeight="1" s="290">
      <c r="A10" s="362" t="inlineStr">
        <is>
          <t>°C</t>
        </is>
      </c>
      <c r="B10" s="362" t="inlineStr">
        <is>
          <t>Degree Celsius</t>
        </is>
      </c>
      <c r="C10" s="362" t="inlineStr">
        <is>
          <t>Temperature Relative to 273</t>
        </is>
      </c>
      <c r="D10" s="362" t="n"/>
    </row>
    <row r="11" ht="18" customHeight="1" s="290">
      <c r="A11" s="362" t="inlineStr">
        <is>
          <t>A</t>
        </is>
      </c>
      <c r="B11" s="362" t="inlineStr">
        <is>
          <t>Ampere</t>
        </is>
      </c>
      <c r="C11" s="362" t="inlineStr">
        <is>
          <t>Electric Current</t>
        </is>
      </c>
      <c r="D11" s="362" t="n"/>
    </row>
    <row r="12" ht="18" customHeight="1" s="290">
      <c r="A12" s="362" t="inlineStr">
        <is>
          <t>A/m</t>
        </is>
      </c>
      <c r="B12" s="362" t="inlineStr">
        <is>
          <t>Ampere per Metre</t>
        </is>
      </c>
      <c r="C12" s="362" t="inlineStr">
        <is>
          <t>Magnetic Field Strength</t>
        </is>
      </c>
      <c r="D12" s="362" t="n"/>
    </row>
    <row r="13" ht="18" customHeight="1" s="290">
      <c r="A13" s="362" t="inlineStr">
        <is>
          <t>A/m2</t>
        </is>
      </c>
      <c r="B13" s="362" t="inlineStr">
        <is>
          <t>Ampere per Square Metre</t>
        </is>
      </c>
      <c r="C13" s="362" t="inlineStr">
        <is>
          <t>Current Density</t>
        </is>
      </c>
      <c r="D13" s="362" t="n"/>
    </row>
    <row r="14" ht="18" customHeight="1" s="290">
      <c r="A14" s="362" t="inlineStr">
        <is>
          <t>au</t>
        </is>
      </c>
      <c r="B14" s="362" t="inlineStr">
        <is>
          <t>Astronomical unit</t>
        </is>
      </c>
      <c r="C14" s="362" t="n"/>
      <c r="D14" s="362" t="n"/>
    </row>
    <row r="15" ht="18" customHeight="1" s="290">
      <c r="A15" s="362" t="inlineStr">
        <is>
          <t>Bq</t>
        </is>
      </c>
      <c r="B15" s="362" t="inlineStr">
        <is>
          <t>Becquerel</t>
        </is>
      </c>
      <c r="C15" s="362" t="inlineStr">
        <is>
          <t>Radioactivity (Decays per Unit Time)</t>
        </is>
      </c>
      <c r="D15" s="362" t="n"/>
    </row>
    <row r="16" ht="18" customHeight="1" s="290">
      <c r="A16" s="362" t="inlineStr">
        <is>
          <t>C</t>
        </is>
      </c>
      <c r="B16" s="362" t="inlineStr">
        <is>
          <t>Coulomb</t>
        </is>
      </c>
      <c r="C16" s="362" t="inlineStr">
        <is>
          <t>Electric Charge or Quantity of Electricity</t>
        </is>
      </c>
      <c r="D16" s="362" t="n"/>
    </row>
    <row r="17" ht="18" customHeight="1" s="290">
      <c r="A17" s="362" t="inlineStr">
        <is>
          <t>cd</t>
        </is>
      </c>
      <c r="B17" s="362" t="inlineStr">
        <is>
          <t>Candela</t>
        </is>
      </c>
      <c r="C17" s="362" t="inlineStr">
        <is>
          <t>Luminous Intensity</t>
        </is>
      </c>
      <c r="D17" s="362" t="n"/>
    </row>
    <row r="18" ht="18" customHeight="1" s="290">
      <c r="A18" s="362" t="inlineStr">
        <is>
          <t>cd/m2</t>
        </is>
      </c>
      <c r="B18" s="362" t="inlineStr">
        <is>
          <t>Candela per Square Metre</t>
        </is>
      </c>
      <c r="C18" s="362" t="inlineStr">
        <is>
          <t>Luminance</t>
        </is>
      </c>
      <c r="D18" s="573" t="n"/>
    </row>
    <row r="19" ht="18" customHeight="1" s="290">
      <c r="A19" s="362" t="inlineStr">
        <is>
          <t>CFU/100mL</t>
        </is>
      </c>
      <c r="B19" s="362" t="n"/>
      <c r="C19" s="362" t="n"/>
      <c r="D19" s="362" t="n"/>
    </row>
    <row r="20" ht="18" customHeight="1" s="290">
      <c r="A20" s="362" t="inlineStr">
        <is>
          <t>CFU/g</t>
        </is>
      </c>
      <c r="B20" s="362" t="n"/>
      <c r="C20" s="362" t="n"/>
      <c r="D20" s="573" t="n"/>
    </row>
    <row r="21" ht="15" customHeight="1" s="290">
      <c r="A21" s="362" t="inlineStr">
        <is>
          <t>CFU/h</t>
        </is>
      </c>
    </row>
    <row r="22" outlineLevel="1" ht="18" customHeight="1" s="290">
      <c r="A22" s="362" t="inlineStr">
        <is>
          <t>CFU/mL</t>
        </is>
      </c>
      <c r="B22" s="362" t="n"/>
      <c r="C22" s="362" t="n"/>
      <c r="D22" s="573" t="n"/>
    </row>
    <row r="23" outlineLevel="1" ht="18" customHeight="1" s="290">
      <c r="A23" s="362" t="inlineStr">
        <is>
          <t>CFU/swab</t>
        </is>
      </c>
      <c r="B23" s="362" t="n"/>
      <c r="C23" s="362" t="n"/>
      <c r="D23" s="362" t="n"/>
    </row>
    <row r="24" outlineLevel="1" ht="18" customHeight="1" s="290">
      <c r="A24" s="362" t="inlineStr">
        <is>
          <t>d</t>
        </is>
      </c>
      <c r="B24" s="362" t="inlineStr">
        <is>
          <t>day</t>
        </is>
      </c>
      <c r="C24" s="362" t="n"/>
      <c r="D24" s="362" t="n"/>
    </row>
    <row r="25" outlineLevel="1" ht="18" customHeight="1" s="290">
      <c r="A25" s="362" t="inlineStr">
        <is>
          <t>EBC</t>
        </is>
      </c>
      <c r="B25" s="362" t="n"/>
      <c r="C25" s="362" t="n"/>
      <c r="D25" s="362" t="n"/>
    </row>
    <row r="26" outlineLevel="1" ht="15" customHeight="1" s="290">
      <c r="A26" s="573" t="inlineStr">
        <is>
          <t>eV</t>
        </is>
      </c>
      <c r="B26" s="362" t="inlineStr">
        <is>
          <t>Electronvolt</t>
        </is>
      </c>
      <c r="C26" s="362" t="n"/>
      <c r="D26" s="362" t="n"/>
    </row>
    <row r="27" outlineLevel="1" ht="18" customHeight="1" s="290">
      <c r="A27" s="573" t="inlineStr">
        <is>
          <t>F</t>
        </is>
      </c>
      <c r="B27" s="362" t="inlineStr">
        <is>
          <t>Farad</t>
        </is>
      </c>
      <c r="C27" s="362" t="inlineStr">
        <is>
          <t>Capacitance</t>
        </is>
      </c>
      <c r="D27" s="362" t="n"/>
    </row>
    <row r="28" outlineLevel="1" ht="18" customHeight="1" s="290">
      <c r="A28" s="573" t="inlineStr">
        <is>
          <t>FNU</t>
        </is>
      </c>
      <c r="B28" s="362" t="n"/>
      <c r="C28" s="362" t="n"/>
      <c r="D28" s="362" t="n"/>
    </row>
    <row r="29" outlineLevel="1" ht="18" customHeight="1" s="290">
      <c r="A29" s="362" t="inlineStr">
        <is>
          <t>g</t>
        </is>
      </c>
      <c r="B29" s="362" t="inlineStr">
        <is>
          <t>Gram</t>
        </is>
      </c>
      <c r="C29" s="362" t="n"/>
      <c r="D29" s="362" t="n"/>
    </row>
    <row r="30" outlineLevel="1" ht="18" customHeight="1" s="290">
      <c r="A30" s="362" t="inlineStr">
        <is>
          <t>g/100g</t>
        </is>
      </c>
      <c r="B30" s="362" t="n"/>
      <c r="C30" s="362" t="n"/>
      <c r="D30" s="362" t="n"/>
    </row>
    <row r="31" outlineLevel="1" ht="18" customHeight="1" s="290">
      <c r="A31" s="362" t="inlineStr">
        <is>
          <t>g/cm3</t>
        </is>
      </c>
      <c r="B31" s="362" t="n"/>
      <c r="C31" s="362" t="n"/>
      <c r="D31" s="573" t="n"/>
    </row>
    <row r="32" outlineLevel="1" ht="18" customHeight="1" s="290">
      <c r="A32" s="362" t="inlineStr">
        <is>
          <t>g/dL</t>
        </is>
      </c>
      <c r="B32" s="362" t="n"/>
      <c r="C32" s="362" t="n"/>
      <c r="D32" s="573" t="n"/>
    </row>
    <row r="33" outlineLevel="1" ht="18" customHeight="1" s="290">
      <c r="A33" s="362" t="inlineStr">
        <is>
          <t>Gy</t>
        </is>
      </c>
      <c r="B33" s="362" t="inlineStr">
        <is>
          <t>Gray</t>
        </is>
      </c>
      <c r="C33" s="362" t="inlineStr">
        <is>
          <t>Absorbed Dose (of Ionising Radiation)</t>
        </is>
      </c>
      <c r="D33" s="362" t="n"/>
    </row>
    <row r="34" outlineLevel="1" ht="18" customHeight="1" s="290">
      <c r="A34" s="362" t="inlineStr">
        <is>
          <t>H</t>
        </is>
      </c>
      <c r="B34" s="362" t="inlineStr">
        <is>
          <t>Henry</t>
        </is>
      </c>
      <c r="C34" s="362" t="inlineStr">
        <is>
          <t>Inductance</t>
        </is>
      </c>
      <c r="D34" s="362" t="n"/>
    </row>
    <row r="35" outlineLevel="1" ht="18" customHeight="1" s="290">
      <c r="A35" s="362" t="inlineStr">
        <is>
          <t>h</t>
        </is>
      </c>
      <c r="B35" s="362" t="inlineStr">
        <is>
          <t>hour</t>
        </is>
      </c>
      <c r="C35" s="362" t="n"/>
      <c r="D35" s="362" t="n"/>
    </row>
    <row r="36" outlineLevel="1" ht="18" customHeight="1" s="290">
      <c r="A36" s="362" t="inlineStr">
        <is>
          <t>ha</t>
        </is>
      </c>
      <c r="B36" s="362" t="inlineStr">
        <is>
          <t>hectare</t>
        </is>
      </c>
      <c r="C36" s="362" t="inlineStr">
        <is>
          <t>1 ha = 10 000 m2</t>
        </is>
      </c>
      <c r="D36" s="362" t="n"/>
    </row>
    <row r="37" outlineLevel="1" ht="18" customHeight="1" s="290">
      <c r="A37" s="362" t="inlineStr">
        <is>
          <t>Hz</t>
        </is>
      </c>
      <c r="B37" s="362" t="inlineStr">
        <is>
          <t>Hertz</t>
        </is>
      </c>
      <c r="C37" s="362" t="inlineStr">
        <is>
          <t>Frequency</t>
        </is>
      </c>
      <c r="D37" s="362" t="n"/>
    </row>
    <row r="38" outlineLevel="1" ht="18" customHeight="1" s="290">
      <c r="A38" s="362" t="inlineStr">
        <is>
          <t>IBU</t>
        </is>
      </c>
      <c r="B38" s="362" t="n"/>
      <c r="C38" s="362" t="n"/>
      <c r="D38" s="362" t="n"/>
    </row>
    <row r="39" outlineLevel="1" ht="18" customHeight="1" s="290">
      <c r="A39" s="362" t="inlineStr">
        <is>
          <t>IU/g</t>
        </is>
      </c>
      <c r="B39" s="362" t="n"/>
      <c r="C39" s="362" t="n"/>
      <c r="D39" s="362" t="n"/>
    </row>
    <row r="40" outlineLevel="1" ht="18" customHeight="1" s="290">
      <c r="A40" s="573" t="inlineStr">
        <is>
          <t>IU/kg</t>
        </is>
      </c>
      <c r="B40" s="362" t="n"/>
      <c r="C40" s="362" t="n"/>
      <c r="D40" s="362" t="n"/>
    </row>
    <row r="41" outlineLevel="1" ht="18" customHeight="1" s="290">
      <c r="A41" s="362" t="inlineStr">
        <is>
          <t>J</t>
        </is>
      </c>
      <c r="B41" s="362" t="inlineStr">
        <is>
          <t>Joule</t>
        </is>
      </c>
      <c r="C41" s="362" t="inlineStr">
        <is>
          <t>Energy, Work, Heat</t>
        </is>
      </c>
      <c r="D41" s="362" t="n"/>
    </row>
    <row r="42" outlineLevel="1" ht="18" customHeight="1" s="290">
      <c r="A42" s="362" t="inlineStr">
        <is>
          <t>J/g</t>
        </is>
      </c>
      <c r="B42" s="362" t="n"/>
      <c r="C42" s="362" t="n"/>
      <c r="D42" s="362" t="n"/>
    </row>
    <row r="43" outlineLevel="1" ht="18" customHeight="1" s="290">
      <c r="A43" s="362" t="inlineStr">
        <is>
          <t>K</t>
        </is>
      </c>
      <c r="B43" s="362" t="inlineStr">
        <is>
          <t>Kelvin</t>
        </is>
      </c>
      <c r="C43" s="362" t="inlineStr">
        <is>
          <t>Temperature</t>
        </is>
      </c>
      <c r="D43" s="362" t="n"/>
    </row>
    <row r="44" outlineLevel="1" ht="18" customHeight="1" s="290">
      <c r="A44" s="573" t="inlineStr">
        <is>
          <t>kat</t>
        </is>
      </c>
      <c r="B44" s="573" t="inlineStr">
        <is>
          <t>Katal</t>
        </is>
      </c>
      <c r="C44" s="573" t="inlineStr">
        <is>
          <t>Catalytic Activity</t>
        </is>
      </c>
      <c r="D44" s="362" t="n"/>
    </row>
    <row r="45" outlineLevel="1" ht="18" customHeight="1" s="290">
      <c r="A45" s="573" t="inlineStr">
        <is>
          <t>KCal/100g</t>
        </is>
      </c>
      <c r="B45" s="362" t="n"/>
      <c r="C45" s="362" t="n"/>
      <c r="D45" s="573" t="n"/>
    </row>
    <row r="46" outlineLevel="1" ht="18" customHeight="1" s="290">
      <c r="A46" s="573" t="inlineStr">
        <is>
          <t>kg</t>
        </is>
      </c>
      <c r="B46" s="362" t="inlineStr">
        <is>
          <t>Kilogram</t>
        </is>
      </c>
      <c r="C46" s="362" t="inlineStr">
        <is>
          <t>Mass</t>
        </is>
      </c>
      <c r="D46" s="573" t="n"/>
    </row>
    <row r="47" outlineLevel="1" ht="18" customHeight="1" s="290">
      <c r="A47" s="573" t="inlineStr">
        <is>
          <t>kg/m2</t>
        </is>
      </c>
      <c r="B47" s="362" t="inlineStr">
        <is>
          <t>Kilogram per Square Metre</t>
        </is>
      </c>
      <c r="C47" s="362" t="inlineStr">
        <is>
          <t>Surface Density</t>
        </is>
      </c>
      <c r="D47" s="362" t="n"/>
    </row>
    <row r="48" outlineLevel="1" ht="18" customHeight="1" s="290">
      <c r="A48" s="573" t="inlineStr">
        <is>
          <t>kg/m3</t>
        </is>
      </c>
      <c r="B48" s="573" t="inlineStr">
        <is>
          <t>Kilogram per Cubic Metre</t>
        </is>
      </c>
      <c r="C48" s="573" t="inlineStr">
        <is>
          <t>Density</t>
        </is>
      </c>
      <c r="D48" s="362" t="n"/>
    </row>
    <row r="49" outlineLevel="1" ht="18" customHeight="1" s="290">
      <c r="A49" s="573" t="inlineStr">
        <is>
          <t>kJ</t>
        </is>
      </c>
      <c r="B49" s="573" t="inlineStr">
        <is>
          <t>Kilojoule</t>
        </is>
      </c>
      <c r="C49" s="573" t="n"/>
      <c r="D49" s="362" t="n"/>
    </row>
    <row r="50" outlineLevel="1" ht="18" customHeight="1" s="290">
      <c r="A50" s="362" t="inlineStr">
        <is>
          <t>km</t>
        </is>
      </c>
      <c r="B50" s="362" t="inlineStr">
        <is>
          <t>Kilometre</t>
        </is>
      </c>
      <c r="C50" s="362" t="n"/>
      <c r="D50" s="362" t="n"/>
    </row>
    <row r="51" ht="18" customHeight="1" s="290">
      <c r="A51" s="362" t="inlineStr">
        <is>
          <t>km/h</t>
        </is>
      </c>
      <c r="B51" s="362" t="inlineStr">
        <is>
          <t>Kilometre per hour</t>
        </is>
      </c>
      <c r="C51" s="362" t="inlineStr">
        <is>
          <t>1 km/h = 0.278 m/s</t>
        </is>
      </c>
      <c r="D51" s="362" t="n"/>
    </row>
    <row r="52" ht="18" customHeight="1" s="290">
      <c r="A52" s="362" t="inlineStr">
        <is>
          <t>kPa</t>
        </is>
      </c>
      <c r="B52" s="362" t="n"/>
      <c r="C52" s="362" t="n"/>
      <c r="D52" s="362" t="n"/>
    </row>
    <row r="53" ht="18" customHeight="1" s="290">
      <c r="A53" s="362" t="inlineStr">
        <is>
          <t>kW</t>
        </is>
      </c>
      <c r="B53" s="362" t="inlineStr">
        <is>
          <t>Kilowatt</t>
        </is>
      </c>
      <c r="C53" s="362" t="inlineStr">
        <is>
          <t>1 kW = 1000 W</t>
        </is>
      </c>
      <c r="D53" s="362" t="n"/>
    </row>
    <row r="54" ht="18" customHeight="1" s="290">
      <c r="A54" s="362" t="inlineStr">
        <is>
          <t>kW⋅h</t>
        </is>
      </c>
      <c r="B54" s="362" t="inlineStr">
        <is>
          <t>Kilowatt-hour</t>
        </is>
      </c>
      <c r="C54" s="362" t="inlineStr">
        <is>
          <t>1 kW⋅h = 3.6 MJ</t>
        </is>
      </c>
      <c r="D54" s="362" t="n"/>
    </row>
    <row r="55" ht="18" customHeight="1" s="290">
      <c r="A55" s="362" t="inlineStr">
        <is>
          <t>L</t>
        </is>
      </c>
      <c r="B55" s="362" t="inlineStr">
        <is>
          <t>Litre</t>
        </is>
      </c>
      <c r="C55" s="362" t="n"/>
      <c r="D55" s="362" t="n"/>
    </row>
    <row r="56" ht="18" customHeight="1" s="290">
      <c r="A56" s="362" t="inlineStr">
        <is>
          <t>lm</t>
        </is>
      </c>
      <c r="B56" s="362" t="inlineStr">
        <is>
          <t>Lumen</t>
        </is>
      </c>
      <c r="C56" s="362" t="inlineStr">
        <is>
          <t>Luminous Flux</t>
        </is>
      </c>
      <c r="D56" s="362" t="n"/>
    </row>
    <row r="57" ht="18" customHeight="1" s="290">
      <c r="A57" s="362" t="inlineStr">
        <is>
          <t>lx</t>
        </is>
      </c>
      <c r="B57" s="362" t="inlineStr">
        <is>
          <t>Lux</t>
        </is>
      </c>
      <c r="C57" s="362" t="inlineStr">
        <is>
          <t>Illuminance</t>
        </is>
      </c>
      <c r="D57" s="362" t="n"/>
    </row>
    <row r="58" ht="18" customHeight="1" s="290">
      <c r="A58" s="362" t="inlineStr">
        <is>
          <t>m</t>
        </is>
      </c>
      <c r="B58" s="362" t="inlineStr">
        <is>
          <t>Metre</t>
        </is>
      </c>
      <c r="C58" s="362" t="inlineStr">
        <is>
          <t>Length</t>
        </is>
      </c>
      <c r="D58" s="362" t="n"/>
    </row>
    <row r="59" ht="18" customHeight="1" s="290">
      <c r="A59" s="362" t="inlineStr">
        <is>
          <t>mA</t>
        </is>
      </c>
      <c r="B59" s="362" t="inlineStr">
        <is>
          <t>Milli Ampere</t>
        </is>
      </c>
      <c r="C59" s="362" t="inlineStr">
        <is>
          <t>Current</t>
        </is>
      </c>
      <c r="D59" s="362" t="n"/>
    </row>
    <row r="60" ht="18" customHeight="1" s="290">
      <c r="A60" s="362" t="inlineStr">
        <is>
          <t>m/s</t>
        </is>
      </c>
      <c r="B60" s="362" t="inlineStr">
        <is>
          <t>Metre per Second</t>
        </is>
      </c>
      <c r="C60" s="362" t="inlineStr">
        <is>
          <t>Speed, Velocity</t>
        </is>
      </c>
      <c r="D60" s="362" t="n"/>
    </row>
    <row r="61" ht="18" customHeight="1" s="290">
      <c r="A61" s="362" t="inlineStr">
        <is>
          <t>m/s2</t>
        </is>
      </c>
      <c r="B61" s="362" t="inlineStr">
        <is>
          <t>Metre per Second Squared</t>
        </is>
      </c>
      <c r="C61" s="362" t="inlineStr">
        <is>
          <t>Acceleration</t>
        </is>
      </c>
      <c r="D61" s="362" t="n"/>
    </row>
    <row r="62" ht="18" customHeight="1" s="290">
      <c r="A62" s="362" t="inlineStr">
        <is>
          <t>m2</t>
        </is>
      </c>
      <c r="B62" s="362" t="inlineStr">
        <is>
          <t>Square Metre</t>
        </is>
      </c>
      <c r="C62" s="362" t="inlineStr">
        <is>
          <t>Area</t>
        </is>
      </c>
      <c r="D62" s="362" t="n"/>
    </row>
    <row r="63" ht="18" customHeight="1" s="290">
      <c r="A63" s="362" t="inlineStr">
        <is>
          <t>m3</t>
        </is>
      </c>
      <c r="B63" s="362" t="inlineStr">
        <is>
          <t>Cubic Metre</t>
        </is>
      </c>
      <c r="C63" s="362" t="inlineStr">
        <is>
          <t>Volume</t>
        </is>
      </c>
      <c r="D63" s="573" t="n"/>
    </row>
    <row r="64" ht="18" customHeight="1" s="290">
      <c r="A64" s="573" t="inlineStr">
        <is>
          <t>m3/kg</t>
        </is>
      </c>
      <c r="B64" s="362" t="inlineStr">
        <is>
          <t>Cubic Metre per Kilogram</t>
        </is>
      </c>
      <c r="C64" s="362" t="inlineStr">
        <is>
          <t>Specific Volume</t>
        </is>
      </c>
      <c r="D64" s="573" t="n"/>
    </row>
    <row r="65" outlineLevel="1" ht="18" customHeight="1" s="290">
      <c r="A65" s="362" t="inlineStr">
        <is>
          <t>meq/kg</t>
        </is>
      </c>
      <c r="B65" s="362" t="n"/>
      <c r="C65" s="362" t="n"/>
      <c r="D65" s="573" t="n"/>
    </row>
    <row r="66" outlineLevel="1" ht="18" customHeight="1" s="290">
      <c r="A66" s="573" t="inlineStr">
        <is>
          <t>mg</t>
        </is>
      </c>
      <c r="B66" s="362" t="inlineStr">
        <is>
          <t>Milligram</t>
        </is>
      </c>
      <c r="C66" s="362" t="n"/>
      <c r="D66" s="362" t="n"/>
    </row>
    <row r="67" outlineLevel="1" ht="18" customHeight="1" s="290">
      <c r="A67" s="573" t="inlineStr">
        <is>
          <t>mg/100g</t>
        </is>
      </c>
      <c r="B67" s="362" t="n"/>
      <c r="C67" s="362" t="n"/>
      <c r="D67" s="362" t="n"/>
    </row>
    <row r="68" outlineLevel="1" ht="18" customHeight="1" s="290">
      <c r="A68" s="573" t="inlineStr">
        <is>
          <t>mg/g</t>
        </is>
      </c>
      <c r="B68" s="362" t="n"/>
      <c r="C68" s="362" t="n"/>
      <c r="D68" s="362" t="n"/>
    </row>
    <row r="69" outlineLevel="1" ht="18" customHeight="1" s="290">
      <c r="A69" s="573" t="inlineStr">
        <is>
          <t>mg/kg</t>
        </is>
      </c>
      <c r="B69" s="362" t="n"/>
      <c r="C69" s="362" t="n"/>
      <c r="D69" s="362" t="n"/>
    </row>
    <row r="70" outlineLevel="1" ht="18" customHeight="1" s="290">
      <c r="A70" s="362" t="inlineStr">
        <is>
          <t>mg/L</t>
        </is>
      </c>
      <c r="B70" s="362" t="inlineStr">
        <is>
          <t>Miligram per Liter</t>
        </is>
      </c>
      <c r="C70" s="362" t="inlineStr">
        <is>
          <t>Concentration</t>
        </is>
      </c>
      <c r="D70" s="573" t="n"/>
    </row>
    <row r="71" outlineLevel="1" ht="18" customHeight="1" s="290">
      <c r="A71" s="573" t="inlineStr">
        <is>
          <t>mg/m3</t>
        </is>
      </c>
      <c r="B71" s="573" t="n"/>
      <c r="C71" s="573" t="n"/>
      <c r="D71" s="573" t="n"/>
    </row>
    <row r="72" outlineLevel="1" ht="18" customHeight="1" s="290">
      <c r="A72" s="362" t="inlineStr">
        <is>
          <t>mgKOH/g</t>
        </is>
      </c>
      <c r="B72" s="362" t="n"/>
      <c r="C72" s="362" t="n"/>
      <c r="D72" s="573" t="n"/>
    </row>
    <row r="73" outlineLevel="1" ht="18" customHeight="1" s="290">
      <c r="A73" s="362" t="inlineStr">
        <is>
          <t>microS/cm</t>
        </is>
      </c>
      <c r="B73" s="362" t="inlineStr">
        <is>
          <t>Microsiemens per centimeter</t>
        </is>
      </c>
      <c r="C73" s="362" t="n"/>
      <c r="D73" s="573" t="n"/>
    </row>
    <row r="74" outlineLevel="1" ht="18" customHeight="1" s="290">
      <c r="A74" s="362" t="inlineStr">
        <is>
          <t>min</t>
        </is>
      </c>
      <c r="B74" s="362" t="inlineStr">
        <is>
          <t>minute</t>
        </is>
      </c>
      <c r="C74" s="362" t="n"/>
      <c r="D74" s="573" t="n"/>
    </row>
    <row r="75" outlineLevel="1" ht="18" customHeight="1" s="290">
      <c r="A75" s="362" t="inlineStr">
        <is>
          <t>MJ</t>
        </is>
      </c>
      <c r="B75" s="573" t="inlineStr">
        <is>
          <t>Megajoule</t>
        </is>
      </c>
      <c r="C75" s="573" t="inlineStr">
        <is>
          <t>1 MJ = 1000 kJ</t>
        </is>
      </c>
      <c r="D75" s="573" t="n"/>
    </row>
    <row r="76" outlineLevel="1" ht="18" customHeight="1" s="290">
      <c r="A76" s="573" t="inlineStr">
        <is>
          <t>mL</t>
        </is>
      </c>
      <c r="B76" s="362" t="inlineStr">
        <is>
          <t>Millilitre</t>
        </is>
      </c>
      <c r="C76" s="362" t="n"/>
      <c r="D76" s="362" t="n"/>
    </row>
    <row r="77" outlineLevel="1" ht="18" customHeight="1" s="290">
      <c r="A77" s="573" t="inlineStr">
        <is>
          <t>mol</t>
        </is>
      </c>
      <c r="B77" s="573" t="inlineStr">
        <is>
          <t>Mole</t>
        </is>
      </c>
      <c r="C77" s="573" t="inlineStr">
        <is>
          <t>Amount of Substance</t>
        </is>
      </c>
      <c r="D77" s="362" t="n"/>
    </row>
    <row r="78" outlineLevel="1" ht="18" customHeight="1" s="290">
      <c r="A78" s="573" t="inlineStr">
        <is>
          <t>mol/m3</t>
        </is>
      </c>
      <c r="B78" s="573" t="inlineStr">
        <is>
          <t>Mole per Cubic Metre</t>
        </is>
      </c>
      <c r="C78" s="573" t="inlineStr">
        <is>
          <t>Concentration</t>
        </is>
      </c>
      <c r="D78" s="362" t="n"/>
    </row>
    <row r="79" outlineLevel="1" ht="18" customHeight="1" s="290">
      <c r="A79" s="362" t="inlineStr">
        <is>
          <t>MPN/100mL</t>
        </is>
      </c>
      <c r="B79" s="362" t="n"/>
      <c r="C79" s="362" t="n"/>
      <c r="D79" s="362" t="n"/>
    </row>
    <row r="80" outlineLevel="1" ht="18" customHeight="1" s="290">
      <c r="A80" s="573" t="inlineStr">
        <is>
          <t>MPN/g</t>
        </is>
      </c>
      <c r="B80" s="362" t="n"/>
      <c r="C80" s="362" t="n"/>
      <c r="D80" s="362" t="n"/>
    </row>
    <row r="81" outlineLevel="1" ht="18" customHeight="1" s="290">
      <c r="A81" s="362" t="inlineStr">
        <is>
          <t>MPN/L</t>
        </is>
      </c>
      <c r="B81" s="362" t="n"/>
      <c r="C81" s="362" t="n"/>
      <c r="D81" s="362" t="n"/>
    </row>
    <row r="82" outlineLevel="1" ht="18" customHeight="1" s="290">
      <c r="A82" s="362" t="inlineStr">
        <is>
          <t>MPN/swab</t>
        </is>
      </c>
      <c r="B82" s="362" t="n"/>
      <c r="C82" s="362" t="n"/>
      <c r="D82" s="362" t="n"/>
    </row>
    <row r="83" outlineLevel="1" ht="18" customHeight="1" s="290">
      <c r="A83" s="362" t="inlineStr">
        <is>
          <t>mS/m</t>
        </is>
      </c>
      <c r="B83" s="362" t="n"/>
      <c r="C83" s="362" t="n"/>
      <c r="D83" s="362" t="n"/>
    </row>
    <row r="84" outlineLevel="1" ht="18" customHeight="1" s="290">
      <c r="A84" s="362" t="inlineStr">
        <is>
          <t>N</t>
        </is>
      </c>
      <c r="B84" s="362" t="inlineStr">
        <is>
          <t>Newton</t>
        </is>
      </c>
      <c r="C84" s="362" t="inlineStr">
        <is>
          <t>Force, Weight</t>
        </is>
      </c>
      <c r="D84" s="362" t="n"/>
    </row>
    <row r="85" outlineLevel="1" ht="18" customHeight="1" s="290">
      <c r="A85" s="362" t="inlineStr">
        <is>
          <t>ng/L</t>
        </is>
      </c>
      <c r="B85" s="362" t="n"/>
      <c r="C85" s="362" t="n"/>
      <c r="D85" s="362" t="n"/>
    </row>
    <row r="86" outlineLevel="1" ht="18" customHeight="1" s="290">
      <c r="A86" s="573" t="inlineStr">
        <is>
          <t>ng/mL</t>
        </is>
      </c>
      <c r="B86" s="362" t="n"/>
      <c r="C86" s="362" t="n"/>
      <c r="D86" s="573" t="n"/>
    </row>
    <row r="87" outlineLevel="1" ht="18" customHeight="1" s="290">
      <c r="A87" s="362" t="inlineStr">
        <is>
          <t>NTU</t>
        </is>
      </c>
      <c r="B87" s="362" t="n"/>
      <c r="C87" s="362" t="n"/>
      <c r="D87" s="362" t="n"/>
    </row>
    <row r="88" outlineLevel="1" ht="18" customHeight="1" s="290">
      <c r="A88" s="362" t="inlineStr">
        <is>
          <t>Pa</t>
        </is>
      </c>
      <c r="B88" s="362" t="inlineStr">
        <is>
          <t>Pascal</t>
        </is>
      </c>
      <c r="C88" s="362" t="inlineStr">
        <is>
          <t>Pressure, Stress</t>
        </is>
      </c>
      <c r="D88" s="362" t="n"/>
    </row>
    <row r="89" outlineLevel="1" ht="18" customHeight="1" s="290">
      <c r="A89" s="362" t="inlineStr">
        <is>
          <t>ppb</t>
        </is>
      </c>
      <c r="B89" s="362" t="inlineStr">
        <is>
          <t>Parts per Billion</t>
        </is>
      </c>
      <c r="C89" s="362" t="inlineStr">
        <is>
          <t>Concentration</t>
        </is>
      </c>
      <c r="D89" s="362" t="n"/>
    </row>
    <row r="90" outlineLevel="1" ht="18" customHeight="1" s="290">
      <c r="A90" s="362" t="inlineStr">
        <is>
          <t>ppm</t>
        </is>
      </c>
      <c r="B90" s="362" t="inlineStr">
        <is>
          <t>Parts per Million</t>
        </is>
      </c>
      <c r="C90" s="362" t="inlineStr">
        <is>
          <t>Concentration</t>
        </is>
      </c>
      <c r="D90" s="362" t="n"/>
    </row>
    <row r="91" outlineLevel="1" ht="18" customHeight="1" s="290">
      <c r="A91" s="362" t="inlineStr">
        <is>
          <t>Pt-Co</t>
        </is>
      </c>
      <c r="B91" s="362" t="n"/>
      <c r="C91" s="362" t="n"/>
      <c r="D91" s="362" t="n"/>
    </row>
    <row r="92" outlineLevel="1" ht="18" customHeight="1" s="290">
      <c r="A92" s="362" t="inlineStr">
        <is>
          <t>rad</t>
        </is>
      </c>
      <c r="B92" s="362" t="inlineStr">
        <is>
          <t>Radiannote 1</t>
        </is>
      </c>
      <c r="C92" s="362" t="inlineStr">
        <is>
          <t>Plane Angle</t>
        </is>
      </c>
      <c r="D92" s="362" t="n"/>
    </row>
    <row r="93" outlineLevel="1" ht="18" customHeight="1" s="290">
      <c r="A93" s="362" t="inlineStr">
        <is>
          <t>RLU</t>
        </is>
      </c>
      <c r="B93" s="362" t="n"/>
      <c r="C93" s="362" t="n"/>
      <c r="D93" s="362" t="n"/>
    </row>
    <row r="94" outlineLevel="1" ht="18" customHeight="1" s="290">
      <c r="A94" s="362" t="inlineStr">
        <is>
          <t>S</t>
        </is>
      </c>
      <c r="B94" s="362" t="inlineStr">
        <is>
          <t>Siemens</t>
        </is>
      </c>
      <c r="C94" s="362" t="inlineStr">
        <is>
          <t>Electrical Conductance</t>
        </is>
      </c>
      <c r="D94" s="362" t="n"/>
    </row>
    <row r="95" outlineLevel="1" ht="18" customHeight="1" s="290">
      <c r="A95" s="573" t="inlineStr">
        <is>
          <t>s</t>
        </is>
      </c>
      <c r="B95" s="362" t="inlineStr">
        <is>
          <t>Second</t>
        </is>
      </c>
      <c r="C95" s="362" t="inlineStr">
        <is>
          <t>Time</t>
        </is>
      </c>
      <c r="D95" s="362" t="n"/>
    </row>
    <row r="96" ht="18" customHeight="1" s="290">
      <c r="A96" s="362" t="inlineStr">
        <is>
          <t>Sv</t>
        </is>
      </c>
      <c r="B96" s="362" t="inlineStr">
        <is>
          <t>Sievert</t>
        </is>
      </c>
      <c r="C96" s="362" t="inlineStr">
        <is>
          <t>Equivalent Dose (Of Ionising Radiation)</t>
        </is>
      </c>
      <c r="D96" s="362" t="n"/>
    </row>
    <row r="97" ht="18" customHeight="1" s="290">
      <c r="A97" s="573" t="inlineStr">
        <is>
          <t>t</t>
        </is>
      </c>
      <c r="B97" s="573" t="inlineStr">
        <is>
          <t>Metric ton</t>
        </is>
      </c>
      <c r="C97" s="573" t="inlineStr">
        <is>
          <t>1 t = 1000 kg</t>
        </is>
      </c>
      <c r="D97" s="362" t="n"/>
    </row>
    <row r="98" ht="18" customHeight="1" s="290">
      <c r="A98" s="362" t="inlineStr">
        <is>
          <t>T</t>
        </is>
      </c>
      <c r="B98" s="362" t="inlineStr">
        <is>
          <t>Tesla</t>
        </is>
      </c>
      <c r="C98" s="362" t="inlineStr">
        <is>
          <t>Magnetic Flux Density</t>
        </is>
      </c>
      <c r="D98" s="362" t="n"/>
    </row>
    <row r="99" ht="18" customHeight="1" s="290">
      <c r="A99" s="362" t="inlineStr">
        <is>
          <t>u</t>
        </is>
      </c>
      <c r="B99" s="362" t="inlineStr">
        <is>
          <t>Unified atomic mass unit</t>
        </is>
      </c>
      <c r="C99" s="362" t="inlineStr">
        <is>
          <t>1 u = 1.660 54 x 10-27 kg, approximately</t>
        </is>
      </c>
      <c r="D99" s="362" t="n"/>
    </row>
    <row r="100" ht="18" customHeight="1" s="290">
      <c r="A100" s="573" t="inlineStr">
        <is>
          <t>ug/Kg</t>
        </is>
      </c>
      <c r="B100" s="362" t="n"/>
      <c r="C100" s="362" t="n"/>
      <c r="D100" s="362" t="n"/>
    </row>
    <row r="101" ht="18" customHeight="1" s="290">
      <c r="A101" s="573" t="inlineStr">
        <is>
          <t>ug/L</t>
        </is>
      </c>
      <c r="B101" s="362" t="n"/>
      <c r="C101" s="362" t="n"/>
      <c r="D101" s="362" t="n"/>
    </row>
    <row r="102" ht="18" customHeight="1" s="290">
      <c r="A102" s="362" t="inlineStr">
        <is>
          <t>V</t>
        </is>
      </c>
      <c r="B102" s="362" t="inlineStr">
        <is>
          <t>Volt</t>
        </is>
      </c>
      <c r="C102" s="362" t="inlineStr">
        <is>
          <t>Voltage (Electrical Potential), Emf</t>
        </is>
      </c>
      <c r="D102" s="362" t="n"/>
    </row>
    <row r="103" ht="18" customHeight="1" s="290">
      <c r="A103" s="362" t="inlineStr">
        <is>
          <t>W</t>
        </is>
      </c>
      <c r="B103" s="362" t="inlineStr">
        <is>
          <t>Watt</t>
        </is>
      </c>
      <c r="C103" s="362" t="inlineStr">
        <is>
          <t>Power, Radiant Flux</t>
        </is>
      </c>
      <c r="D103" s="362" t="n"/>
    </row>
    <row r="104" ht="18" customHeight="1" s="290">
      <c r="A104" s="362" t="inlineStr">
        <is>
          <t>Wb</t>
        </is>
      </c>
      <c r="B104" s="362" t="inlineStr">
        <is>
          <t>Weber</t>
        </is>
      </c>
      <c r="C104" s="362" t="inlineStr">
        <is>
          <t>Magnetic Flux</t>
        </is>
      </c>
      <c r="D104" s="362" t="n"/>
    </row>
    <row r="105" ht="18" customHeight="1" s="290">
      <c r="A105" s="362" t="inlineStr">
        <is>
          <t>µg/L</t>
        </is>
      </c>
      <c r="B105" s="362" t="n"/>
      <c r="C105" s="362" t="n"/>
      <c r="D105" s="362" t="n"/>
    </row>
    <row r="106" ht="18" customHeight="1" s="290">
      <c r="A106" s="362" t="inlineStr">
        <is>
          <t>µg/m3</t>
        </is>
      </c>
      <c r="B106" s="362" t="n"/>
      <c r="C106" s="362" t="n"/>
      <c r="D106" s="362" t="n"/>
    </row>
    <row r="107" ht="18" customHeight="1" s="290">
      <c r="A107" s="362" t="inlineStr">
        <is>
          <t>Ω</t>
        </is>
      </c>
      <c r="B107" s="362" t="inlineStr">
        <is>
          <t>Ohm</t>
        </is>
      </c>
      <c r="C107" s="362" t="inlineStr">
        <is>
          <t>Resistance, Impedance, Reactance</t>
        </is>
      </c>
      <c r="D107" s="362" t="n"/>
    </row>
    <row r="108" ht="18" customHeight="1" s="290">
      <c r="A108" s="362" t="n"/>
      <c r="B108" s="362" t="n"/>
      <c r="C108" s="362" t="n"/>
      <c r="D108" s="362" t="n"/>
    </row>
    <row r="109" ht="18" customHeight="1" s="290">
      <c r="A109" s="362" t="n"/>
      <c r="B109" s="362" t="n"/>
      <c r="C109" s="362" t="n"/>
      <c r="D109" s="362" t="n"/>
    </row>
    <row r="110" ht="18" customHeight="1" s="290">
      <c r="A110" s="362" t="n"/>
      <c r="B110" s="362" t="n"/>
      <c r="C110" s="362" t="n"/>
      <c r="D110" s="362" t="n"/>
    </row>
    <row r="111" ht="18" customHeight="1" s="290">
      <c r="A111" s="362" t="n"/>
      <c r="B111" s="362" t="n"/>
      <c r="C111" s="362" t="n"/>
      <c r="D111" s="362" t="n"/>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en-AU</dc:language>
  <dcterms:created xsi:type="dcterms:W3CDTF">2026-08-05T08:31:33Z</dcterms:created>
  <dcterms:modified xsi:type="dcterms:W3CDTF">2026-08-05T08:31:33Z</dcterms:modified>
  <cp:revision>5</cp:revision>
</cp:coreProperties>
</file>